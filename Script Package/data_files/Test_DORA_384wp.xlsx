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sheky\Downloads\"/>
    </mc:Choice>
  </mc:AlternateContent>
  <xr:revisionPtr revIDLastSave="0" documentId="13_ncr:1_{9164535A-9DCA-471D-91C9-F6D33FF787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fo" sheetId="1" r:id="rId1"/>
    <sheet name="SCR_group_EXPORT" sheetId="2" r:id="rId2"/>
    <sheet name="Test DORA" sheetId="3" r:id="rId3"/>
    <sheet name="SCR_plate_STATISTICS" sheetId="4" r:id="rId4"/>
    <sheet name="SCR_group-1_STATISTICS" sheetId="5" r:id="rId5"/>
    <sheet name="SCR_ic50_RESULTS" sheetId="6" r:id="rId6"/>
  </sheets>
  <calcPr calcId="0" iterateCount="1" calcOnSave="0" concurrentCalc="0"/>
</workbook>
</file>

<file path=xl/sharedStrings.xml><?xml version="1.0" encoding="utf-8"?>
<sst xmlns="http://schemas.openxmlformats.org/spreadsheetml/2006/main" count="465" uniqueCount="239">
  <si>
    <t>Data parameters:</t>
  </si>
  <si>
    <t>- DORA assay: IC50</t>
  </si>
  <si>
    <t>- GMK cells</t>
  </si>
  <si>
    <t>- Cells per well: 16 000</t>
  </si>
  <si>
    <t>- Initial dilution: 16</t>
  </si>
  <si>
    <t>- Dilution factor: 2 (i.e. 2-fold dilution series)</t>
  </si>
  <si>
    <t>- two samples: sample 1 and sample 2</t>
  </si>
  <si>
    <t>- Number of parallels per sample: 4</t>
  </si>
  <si>
    <t>Script run:</t>
  </si>
  <si>
    <t>1)</t>
  </si>
  <si>
    <t>Normalization and data arranging:</t>
  </si>
  <si>
    <t>- Open Windows PowerShell</t>
  </si>
  <si>
    <t>- Run script by typing "python DORAScript_384.py"</t>
  </si>
  <si>
    <t>- Select data sheet: Test DORA</t>
  </si>
  <si>
    <t>- Select analysis type: IC50</t>
  </si>
  <si>
    <t>- Write group label: 1</t>
  </si>
  <si>
    <t>- Write initial dilution: 16</t>
  </si>
  <si>
    <t>- Write dilution factor: 2</t>
  </si>
  <si>
    <t>- Write number of sample: 2</t>
  </si>
  <si>
    <t>- Write number of parallels: 4</t>
  </si>
  <si>
    <t>- Write label for sample 1: sample 1</t>
  </si>
  <si>
    <t>- Write label for sample 2: sample 2</t>
  </si>
  <si>
    <t>- Write yes/no for adding new group: no</t>
  </si>
  <si>
    <t xml:space="preserve">2) </t>
  </si>
  <si>
    <t>4PL curve fiting:</t>
  </si>
  <si>
    <t>- Run script by typing "python 4PLScript.py"</t>
  </si>
  <si>
    <t>Group 1 (IC50)</t>
  </si>
  <si>
    <t>Log dil</t>
  </si>
  <si>
    <t>Sample 1</t>
  </si>
  <si>
    <t>Sample 2</t>
  </si>
  <si>
    <t xml:space="preserve">Plate information 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</si>
  <si>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</si>
  <si>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</si>
  <si>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</si>
  <si>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</si>
  <si>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</si>
  <si>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</si>
  <si>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</si>
  <si>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</si>
  <si>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</si>
  <si>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</si>
  <si>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Group</t>
  </si>
  <si>
    <t>Label</t>
  </si>
  <si>
    <t>ScanX</t>
  </si>
  <si>
    <t>ScanY</t>
  </si>
  <si>
    <t>Measinfo</t>
  </si>
  <si>
    <t>Kinetics</t>
  </si>
  <si>
    <t>Measurement date</t>
  </si>
  <si>
    <t>14.35</t>
  </si>
  <si>
    <t>22.15</t>
  </si>
  <si>
    <t>22.17</t>
  </si>
  <si>
    <t>52.9</t>
  </si>
  <si>
    <t>22.83</t>
  </si>
  <si>
    <t>22.86</t>
  </si>
  <si>
    <t>De=1st Ex=Top Em=Top Wdw=N/A</t>
  </si>
  <si>
    <t>6/18/2025 12:29:36 PM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</si>
  <si>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</si>
  <si>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</si>
  <si>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</si>
  <si>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</si>
  <si>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</si>
  <si>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</si>
  <si>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</si>
  <si>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</si>
  <si>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</si>
  <si>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</si>
  <si>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</si>
  <si>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</si>
  <si>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</si>
  <si>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</si>
  <si>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</si>
  <si>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</si>
  <si>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Basic assay information </t>
  </si>
  <si>
    <t xml:space="preserve">Assay ID: </t>
  </si>
  <si>
    <t xml:space="preserve">Assay Started: </t>
  </si>
  <si>
    <t>6/18/2025 12:28:50 PM</t>
  </si>
  <si>
    <t xml:space="preserve">Assay Finished: </t>
  </si>
  <si>
    <t>6/18/2025 12:29:47 PM</t>
  </si>
  <si>
    <t xml:space="preserve">Assay Exported: </t>
  </si>
  <si>
    <t>6/18/2025 12:30:49 PM</t>
  </si>
  <si>
    <t xml:space="preserve">Protocol ID: </t>
  </si>
  <si>
    <t xml:space="preserve">Protocol Name: 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</si>
  <si>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</si>
  <si>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</si>
  <si>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</si>
  <si>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</si>
  <si>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</si>
  <si>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</si>
  <si>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N/A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</si>
  <si>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</si>
  <si>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</si>
  <si>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</si>
  <si>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</si>
  <si>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</si>
  <si>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</si>
  <si>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</si>
  <si>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</si>
  <si>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</si>
  <si>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Rows, bi-directional</t>
  </si>
  <si>
    <t>Rotated plate</t>
  </si>
  <si>
    <t>Soft move</t>
  </si>
  <si>
    <t>Protocol notes</t>
  </si>
  <si>
    <t>Plate type:</t>
  </si>
  <si>
    <t>Name of the plate type</t>
  </si>
  <si>
    <t>384 General</t>
  </si>
  <si>
    <t>Number of rows</t>
  </si>
  <si>
    <t>Number of columns</t>
  </si>
  <si>
    <t>Number of the wells in the plate</t>
  </si>
  <si>
    <t>Height of the plate</t>
  </si>
  <si>
    <t>14.35 mm</t>
  </si>
  <si>
    <t>Coordinates of corners:</t>
  </si>
  <si>
    <t>384 General + Copy of Alamar Blue</t>
  </si>
  <si>
    <t>11.88 mm x------------------------------------------------------ x 115.67 mm</t>
  </si>
  <si>
    <t>8.99 mm                                                            9.12 mm</t>
  </si>
  <si>
    <t>12 mm x--------------------------------------------------------- x 115.24 mm</t>
  </si>
  <si>
    <t>76.51 mm                                                           76.6 mm</t>
  </si>
  <si>
    <t>Platemap:</t>
  </si>
  <si>
    <t xml:space="preserve">- </t>
  </si>
  <si>
    <t xml:space="preserve"> - - Undefined</t>
  </si>
  <si>
    <t>Calculations:</t>
  </si>
  <si>
    <t>No calculations.</t>
  </si>
  <si>
    <t>Auto export parameters:</t>
  </si>
  <si>
    <t>Export format</t>
  </si>
  <si>
    <t>Plate2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</si>
  <si>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</si>
  <si>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</si>
  <si>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</si>
  <si>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</si>
  <si>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</si>
  <si>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</si>
  <si>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</si>
  <si>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</si>
  <si>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</si>
  <si>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</si>
  <si>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</si>
  <si>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</si>
  <si>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</si>
  <si>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</si>
  <si>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</si>
  <si>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</si>
  <si>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&lt;DefaultDataFolder&gt;\&lt;Date&gt;\&lt;ProtocolName&gt;_&lt;AssayID&gt;.csv</t>
  </si>
  <si>
    <t>Operations:</t>
  </si>
  <si>
    <t>Plate 1</t>
  </si>
  <si>
    <t xml:space="preserve">  Group 1</t>
  </si>
  <si>
    <t xml:space="preserve">    Measurement</t>
  </si>
  <si>
    <t xml:space="preserve">      Label</t>
  </si>
  <si>
    <t>Labels:</t>
  </si>
  <si>
    <t>Copy of Alamar Blue</t>
  </si>
  <si>
    <t>Top mirror</t>
  </si>
  <si>
    <t>Bottom mirror</t>
  </si>
  <si>
    <t>Exc. filter</t>
  </si>
  <si>
    <t>Monochromator cutoff 360</t>
  </si>
  <si>
    <t>Using of excitation filter</t>
  </si>
  <si>
    <t>Top</t>
  </si>
  <si>
    <t>2nd exc. filter</t>
  </si>
  <si>
    <t>Using of 2nd excitation filter</t>
  </si>
  <si>
    <t>Excitation wavelength</t>
  </si>
  <si>
    <t>560 nm</t>
  </si>
  <si>
    <t>Ems. filter</t>
  </si>
  <si>
    <t>2nd ems. filter</t>
  </si>
  <si>
    <t>Emission wavelength</t>
  </si>
  <si>
    <t>590 nm</t>
  </si>
  <si>
    <t>Measurement height</t>
  </si>
  <si>
    <t>6.1 mm</t>
  </si>
  <si>
    <t>Number of flashes</t>
  </si>
  <si>
    <t>Number of flashes integrated</t>
  </si>
  <si>
    <t>PMT gain</t>
  </si>
  <si>
    <t>Excitation light</t>
  </si>
  <si>
    <t>Reference excitation light</t>
  </si>
  <si>
    <t>Emission light</t>
  </si>
  <si>
    <t>Reference AD gain</t>
  </si>
  <si>
    <t>Reference signal</t>
  </si>
  <si>
    <t>2nd excitation light</t>
  </si>
  <si>
    <t>Reference 2nd excitation light</t>
  </si>
  <si>
    <t>2nd reference AD gain</t>
  </si>
  <si>
    <t>2nd reference signal</t>
  </si>
  <si>
    <t>Last edited</t>
  </si>
  <si>
    <t>Last edited by</t>
  </si>
  <si>
    <t>EnVision</t>
  </si>
  <si>
    <t>Factory preset</t>
  </si>
  <si>
    <t>Filters:</t>
  </si>
  <si>
    <t>Filter type</t>
  </si>
  <si>
    <t>Excitation</t>
  </si>
  <si>
    <t>Description</t>
  </si>
  <si>
    <t>X360co Longpass=360nm, Tmin=90%</t>
  </si>
  <si>
    <t>Used with</t>
  </si>
  <si>
    <t>9/23/2010 7:53:56 PM</t>
  </si>
  <si>
    <t>Installation</t>
  </si>
  <si>
    <t>Monochromator cutoff 585</t>
  </si>
  <si>
    <t>X585co Longpass=585nm, Tmin=75%</t>
  </si>
  <si>
    <t>Instrument:</t>
  </si>
  <si>
    <t>Serial number</t>
  </si>
  <si>
    <t>Nickname</t>
  </si>
  <si>
    <t>Notifications for plate 1, repeat 1:</t>
  </si>
  <si>
    <t xml:space="preserve">WARNING: The reference signal is below the warning level. To fix the problem, try the following corrections: </t>
  </si>
  <si>
    <t xml:space="preserve">1. Set the excitation light % as high as possible. </t>
  </si>
  <si>
    <t xml:space="preserve">2. Increase the number of flashes per A/D conversion. </t>
  </si>
  <si>
    <t>3. Use a filter passing more light.</t>
  </si>
  <si>
    <t>Exported with EnVision Workstation version 1.12</t>
  </si>
  <si>
    <t>384-wellplate</t>
  </si>
  <si>
    <t>Avg</t>
  </si>
  <si>
    <t>Avg50</t>
  </si>
  <si>
    <t>StDev</t>
  </si>
  <si>
    <t>100%</t>
  </si>
  <si>
    <t>0%</t>
  </si>
  <si>
    <t>96-subplate (1)</t>
  </si>
  <si>
    <t>None</t>
  </si>
  <si>
    <t>96-subplate (2)</t>
  </si>
  <si>
    <t>96-subplate (3)</t>
  </si>
  <si>
    <t>96-subplate (4)</t>
  </si>
  <si>
    <t>Group 1</t>
  </si>
  <si>
    <t>IC50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</si>
  <si>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</si>
  <si>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</si>
  <si>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</si>
  <si>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</si>
  <si>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</si>
  <si>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</si>
  <si>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</si>
  <si>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</si>
  <si>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</si>
  <si>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</si>
  <si>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</si>
  <si>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</si>
  <si>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Dil</t>
  </si>
  <si>
    <t>Averages</t>
  </si>
  <si>
    <t>Normalized values</t>
  </si>
  <si>
    <t>Sample</t>
  </si>
  <si>
    <t>LogIC50</t>
  </si>
  <si>
    <t>Hill slope</t>
  </si>
  <si>
    <t>- Select data sheet: SCR_group_EXPORT</t>
  </si>
  <si>
    <t>- Select groups for analysis: Group 1</t>
  </si>
  <si>
    <t>Alamar Blue</t>
  </si>
  <si>
    <t>Alamar Blue 384</t>
  </si>
  <si>
    <t>Results for Alamar Blue - channel 1 (RFU)</t>
  </si>
  <si>
    <t>Test DORA 384wp file</t>
  </si>
  <si>
    <t>Contains one 96-well plate of raw scripted data in 384-well plate from neutralization assay (IC50) to quantify presence of neutalizing antibodies from two different samples.</t>
  </si>
  <si>
    <t>- Select data file: Test_DORA_384wp.xlsx</t>
  </si>
  <si>
    <t>Results are found from the this scripted data file and from the results_file directory.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</si>
</sst>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##"/>
    <numFmt numFmtId="165" formatCode="0.0#"/>
    <numFmt numFmtId="166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i/>
      <sz val="11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Normalized values -chart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'SCR_group-1_STATISTICS'!$C$47</c:f>
              <c:strCache>
                <c:ptCount val="1"/>
                <c:pt idx="0">
                  <c:v>Sample 1</c:v>
                </c:pt>
              </c:strCache>
            </c:strRef>
          </c:tx>
          <c:spPr>
            <a:ln w="6000">
              <a:solidFill>
                <a:srgbClr val="B2222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B22222"/>
              </a:solidFill>
              <a:ln w="0">
                <a:solidFill>
                  <a:srgbClr val="B22222"/>
                </a:solidFill>
                <a:prstDash val="solid"/>
              </a:ln>
            </c:spPr>
          </c:marker>
          <c:cat>
            <c:numRef>
              <c:f>'SCR_group-1_STATISTICS'!$B$48:$B$56</c:f>
              <c:numCache>
                <c:formatCode>0.0##</c:formatCode>
                <c:ptCount val="9"/>
                <c:pt idx="0">
                  <c:v>1.204119982655925</c:v>
                </c:pt>
                <c:pt idx="1">
                  <c:v>1.505149978319906</c:v>
                </c:pt>
                <c:pt idx="2">
                  <c:v>1.8061799739838871</c:v>
                </c:pt>
                <c:pt idx="3">
                  <c:v>2.1072099696478679</c:v>
                </c:pt>
                <c:pt idx="4">
                  <c:v>2.40823996531185</c:v>
                </c:pt>
                <c:pt idx="5">
                  <c:v>2.7092699609758308</c:v>
                </c:pt>
                <c:pt idx="6">
                  <c:v>3.0102999566398121</c:v>
                </c:pt>
                <c:pt idx="7">
                  <c:v>3.3113299523037929</c:v>
                </c:pt>
                <c:pt idx="8">
                  <c:v>3.6123599479677742</c:v>
                </c:pt>
              </c:numCache>
            </c:numRef>
          </c:cat>
          <c:val>
            <c:numRef>
              <c:f>'SCR_group-1_STATISTICS'!$C$48:$C$56</c:f>
              <c:numCache>
                <c:formatCode>0.0##</c:formatCode>
                <c:ptCount val="9"/>
                <c:pt idx="0">
                  <c:v>64.79444046108874</c:v>
                </c:pt>
                <c:pt idx="1">
                  <c:v>76.411229386134238</c:v>
                </c:pt>
                <c:pt idx="2">
                  <c:v>78.931994925817662</c:v>
                </c:pt>
                <c:pt idx="3">
                  <c:v>77.51695990292869</c:v>
                </c:pt>
                <c:pt idx="4">
                  <c:v>48.336440350780428</c:v>
                </c:pt>
                <c:pt idx="5">
                  <c:v>26.172853124482931</c:v>
                </c:pt>
                <c:pt idx="6">
                  <c:v>40.363796812089788</c:v>
                </c:pt>
                <c:pt idx="7">
                  <c:v>6.4739948155093483</c:v>
                </c:pt>
                <c:pt idx="8">
                  <c:v>-0.1480337543433897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8-4102-9213-6D056C6A419D}"/>
            </c:ext>
          </c:extLst>
        </c:ser>
        <c:ser>
          <c:idx val="1"/>
          <c:order val="1"/>
          <c:tx>
            <c:strRef>
              <c:f>'SCR_group-1_STATISTICS'!$D$47</c:f>
              <c:strCache>
                <c:ptCount val="1"/>
                <c:pt idx="0">
                  <c:v>Sample 2</c:v>
                </c:pt>
              </c:strCache>
            </c:strRef>
          </c:tx>
          <c:spPr>
            <a:ln w="6000">
              <a:solidFill>
                <a:srgbClr val="228B2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228B22"/>
              </a:solidFill>
              <a:ln w="0">
                <a:solidFill>
                  <a:srgbClr val="228B22"/>
                </a:solidFill>
                <a:prstDash val="solid"/>
              </a:ln>
            </c:spPr>
          </c:marker>
          <c:cat>
            <c:numRef>
              <c:f>'SCR_group-1_STATISTICS'!$B$48:$B$56</c:f>
              <c:numCache>
                <c:formatCode>0.0##</c:formatCode>
                <c:ptCount val="9"/>
                <c:pt idx="0">
                  <c:v>1.204119982655925</c:v>
                </c:pt>
                <c:pt idx="1">
                  <c:v>1.505149978319906</c:v>
                </c:pt>
                <c:pt idx="2">
                  <c:v>1.8061799739838871</c:v>
                </c:pt>
                <c:pt idx="3">
                  <c:v>2.1072099696478679</c:v>
                </c:pt>
                <c:pt idx="4">
                  <c:v>2.40823996531185</c:v>
                </c:pt>
                <c:pt idx="5">
                  <c:v>2.7092699609758308</c:v>
                </c:pt>
                <c:pt idx="6">
                  <c:v>3.0102999566398121</c:v>
                </c:pt>
                <c:pt idx="7">
                  <c:v>3.3113299523037929</c:v>
                </c:pt>
                <c:pt idx="8">
                  <c:v>3.6123599479677742</c:v>
                </c:pt>
              </c:numCache>
            </c:numRef>
          </c:cat>
          <c:val>
            <c:numRef>
              <c:f>'SCR_group-1_STATISTICS'!$D$48:$D$56</c:f>
              <c:numCache>
                <c:formatCode>0.0##</c:formatCode>
                <c:ptCount val="9"/>
                <c:pt idx="0">
                  <c:v>11.41315978158954</c:v>
                </c:pt>
                <c:pt idx="1">
                  <c:v>-3.6606916331145549</c:v>
                </c:pt>
                <c:pt idx="2">
                  <c:v>-3.0460537201478131</c:v>
                </c:pt>
                <c:pt idx="3">
                  <c:v>-4.6327284760906737</c:v>
                </c:pt>
                <c:pt idx="4">
                  <c:v>-4.8140753405769132</c:v>
                </c:pt>
                <c:pt idx="5">
                  <c:v>-4.9336495504936293</c:v>
                </c:pt>
                <c:pt idx="6">
                  <c:v>-4.9199713198389494</c:v>
                </c:pt>
                <c:pt idx="7">
                  <c:v>-4.9040869229496433</c:v>
                </c:pt>
                <c:pt idx="8">
                  <c:v>-4.9402680491975071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8-4102-9213-6D056C6A4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 dilution</a:t>
                </a:r>
              </a:p>
            </c:rich>
          </c:tx>
          <c:overlay val="1"/>
        </c:title>
        <c:numFmt formatCode="0.0#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Inhibition (%)</a:t>
                </a:r>
              </a:p>
            </c:rich>
          </c:tx>
          <c:overlay val="1"/>
        </c:title>
        <c:numFmt formatCode="0.0#" sourceLinked="0"/>
        <c:majorTickMark val="none"/>
        <c:minorTickMark val="none"/>
        <c:tickLblPos val="nextTo"/>
        <c:crossAx val="10"/>
        <c:crosses val="autoZero"/>
        <c:crossBetween val="between"/>
        <c:majorUnit val="8.3872262975015168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32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tabSelected="1" workbookViewId="0">
      <selection activeCell="B41" sqref="B41"/>
    </sheetView>
  </sheetViews>
  <sheetFormatPr defaultRowHeight="15" x14ac:dyDescent="0.25"/>
  <sheetData>
    <row r="2" spans="2:2" ht="15.75" customHeight="1" x14ac:dyDescent="0.25">
      <c r="B2" s="15" t="s">
        <v>235</v>
      </c>
    </row>
    <row r="4" spans="2:2" x14ac:dyDescent="0.25">
      <c r="B4" t="s">
        <v>236</v>
      </c>
    </row>
    <row r="6" spans="2:2" x14ac:dyDescent="0.25">
      <c r="B6" s="3" t="s">
        <v>0</v>
      </c>
    </row>
    <row r="7" spans="2:2" x14ac:dyDescent="0.25">
      <c r="B7" s="4" t="s">
        <v>1</v>
      </c>
    </row>
    <row r="8" spans="2:2" x14ac:dyDescent="0.25">
      <c r="B8" s="4" t="s">
        <v>2</v>
      </c>
    </row>
    <row r="9" spans="2:2" x14ac:dyDescent="0.25">
      <c r="B9" s="4" t="s">
        <v>3</v>
      </c>
    </row>
    <row r="10" spans="2:2" x14ac:dyDescent="0.25">
      <c r="B10" s="4" t="s">
        <v>4</v>
      </c>
    </row>
    <row r="11" spans="2:2" x14ac:dyDescent="0.25">
      <c r="B11" s="4" t="s">
        <v>5</v>
      </c>
    </row>
    <row r="12" spans="2:2" x14ac:dyDescent="0.25">
      <c r="B12" s="4" t="s">
        <v>6</v>
      </c>
    </row>
    <row r="13" spans="2:2" x14ac:dyDescent="0.25">
      <c r="B13" s="4" t="s">
        <v>7</v>
      </c>
    </row>
    <row r="15" spans="2:2" ht="15.75" customHeight="1" x14ac:dyDescent="0.25">
      <c r="B15" s="15" t="s">
        <v>8</v>
      </c>
    </row>
    <row r="17" spans="2:3" x14ac:dyDescent="0.25">
      <c r="B17" s="13" t="s">
        <v>9</v>
      </c>
      <c r="C17" s="3" t="s">
        <v>10</v>
      </c>
    </row>
    <row r="18" spans="2:3" x14ac:dyDescent="0.25">
      <c r="C18" s="4" t="s">
        <v>11</v>
      </c>
    </row>
    <row r="19" spans="2:3" x14ac:dyDescent="0.25">
      <c r="C19" s="4" t="s">
        <v>12</v>
      </c>
    </row>
    <row r="20" spans="2:3" x14ac:dyDescent="0.25">
      <c r="C20" s="4" t="s">
        <v>237</v>
      </c>
    </row>
    <row r="21" spans="2:3" x14ac:dyDescent="0.25">
      <c r="C21" s="4" t="s">
        <v>13</v>
      </c>
    </row>
    <row r="22" spans="2:3" x14ac:dyDescent="0.25">
      <c r="C22" s="4" t="s">
        <v>14</v>
      </c>
    </row>
    <row r="23" spans="2:3" x14ac:dyDescent="0.25">
      <c r="C23" s="4" t="s">
        <v>15</v>
      </c>
    </row>
    <row r="24" spans="2:3" x14ac:dyDescent="0.25">
      <c r="C24" s="4" t="s">
        <v>16</v>
      </c>
    </row>
    <row r="25" spans="2:3" x14ac:dyDescent="0.25">
      <c r="C25" s="4" t="s">
        <v>17</v>
      </c>
    </row>
    <row r="26" spans="2:3" x14ac:dyDescent="0.25">
      <c r="C26" s="4" t="s">
        <v>18</v>
      </c>
    </row>
    <row r="27" spans="2:3" x14ac:dyDescent="0.25">
      <c r="C27" s="4" t="s">
        <v>19</v>
      </c>
    </row>
    <row r="28" spans="2:3" x14ac:dyDescent="0.25">
      <c r="C28" s="4" t="s">
        <v>20</v>
      </c>
    </row>
    <row r="29" spans="2:3" x14ac:dyDescent="0.25">
      <c r="C29" s="4" t="s">
        <v>21</v>
      </c>
    </row>
    <row r="30" spans="2:3" x14ac:dyDescent="0.25">
      <c r="C30" s="4" t="s">
        <v>22</v>
      </c>
    </row>
    <row r="32" spans="2:3" x14ac:dyDescent="0.25">
      <c r="B32" s="13" t="s">
        <v>23</v>
      </c>
      <c r="C32" s="3" t="s">
        <v>24</v>
      </c>
    </row>
    <row r="33" spans="2:3" x14ac:dyDescent="0.25">
      <c r="C33" s="4" t="s">
        <v>25</v>
      </c>
    </row>
    <row r="34" spans="2:3" x14ac:dyDescent="0.25">
      <c r="C34" s="4" t="s">
        <v>237</v>
      </c>
    </row>
    <row r="35" spans="2:3" x14ac:dyDescent="0.25">
      <c r="C35" s="4" t="s">
        <v>230</v>
      </c>
    </row>
    <row r="36" spans="2:3" x14ac:dyDescent="0.25">
      <c r="C36" s="4" t="s">
        <v>231</v>
      </c>
    </row>
    <row r="37" spans="2:3" x14ac:dyDescent="0.25">
      <c r="C37" s="4" t="s">
        <v>14</v>
      </c>
    </row>
    <row r="39" spans="2:3" x14ac:dyDescent="0.25">
      <c r="C39" s="3"/>
    </row>
    <row r="41" spans="2:3" x14ac:dyDescent="0.25">
      <c r="B41" s="3" t="s">
        <v>238</v>
      </c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E35" sqref="E35"/>
    </sheetView>
  </sheetViews>
  <sheetFormatPr defaultRowHeight="15" x14ac:dyDescent="0.25"/>
  <sheetData>
    <row r="1" spans="1:3" x14ac:dyDescent="0.25">
      <c r="A1" s="17" t="s">
        <v>26</v>
      </c>
      <c r="B1" s="18"/>
      <c r="C1" s="18"/>
    </row>
    <row r="2" spans="1:3" x14ac:dyDescent="0.25">
      <c r="A2" s="5" t="s">
        <v>27</v>
      </c>
      <c r="B2" s="6" t="s">
        <v>28</v>
      </c>
      <c r="C2" s="6" t="s">
        <v>29</v>
      </c>
    </row>
    <row r="3" spans="1:3" x14ac:dyDescent="0.25">
      <c r="A3" s="7">
        <v>1.204119982655925</v>
      </c>
      <c r="B3" s="8">
        <v>64.79444046108874</v>
      </c>
      <c r="C3" s="8">
        <v>11.41315978158954</v>
      </c>
    </row>
    <row r="4" spans="1:3" x14ac:dyDescent="0.25">
      <c r="A4" s="7">
        <v>1.505149978319906</v>
      </c>
      <c r="B4" s="8">
        <v>76.411229386134238</v>
      </c>
      <c r="C4" s="8">
        <v>-3.6606916331145549</v>
      </c>
    </row>
    <row r="5" spans="1:3" x14ac:dyDescent="0.25">
      <c r="A5" s="7">
        <v>1.8061799739838871</v>
      </c>
      <c r="B5" s="8">
        <v>78.931994925817662</v>
      </c>
      <c r="C5" s="8">
        <v>-3.0460537201478131</v>
      </c>
    </row>
    <row r="6" spans="1:3" x14ac:dyDescent="0.25">
      <c r="A6" s="7">
        <v>2.1072099696478679</v>
      </c>
      <c r="B6" s="8">
        <v>77.51695990292869</v>
      </c>
      <c r="C6" s="8">
        <v>-4.6327284760906737</v>
      </c>
    </row>
    <row r="7" spans="1:3" x14ac:dyDescent="0.25">
      <c r="A7" s="7">
        <v>2.40823996531185</v>
      </c>
      <c r="B7" s="8">
        <v>48.336440350780428</v>
      </c>
      <c r="C7" s="8">
        <v>-4.8140753405769132</v>
      </c>
    </row>
    <row r="8" spans="1:3" x14ac:dyDescent="0.25">
      <c r="A8" s="7">
        <v>2.7092699609758308</v>
      </c>
      <c r="B8" s="8">
        <v>26.172853124482931</v>
      </c>
      <c r="C8" s="8">
        <v>-4.9336495504936293</v>
      </c>
    </row>
    <row r="9" spans="1:3" x14ac:dyDescent="0.25">
      <c r="A9" s="7">
        <v>3.0102999566398121</v>
      </c>
      <c r="B9" s="8">
        <v>40.363796812089788</v>
      </c>
      <c r="C9" s="8">
        <v>-4.9199713198389494</v>
      </c>
    </row>
    <row r="10" spans="1:3" x14ac:dyDescent="0.25">
      <c r="A10" s="7">
        <v>3.3113299523037929</v>
      </c>
      <c r="B10" s="8">
        <v>6.4739948155093483</v>
      </c>
      <c r="C10" s="8">
        <v>-4.9040869229496433</v>
      </c>
    </row>
    <row r="11" spans="1:3" x14ac:dyDescent="0.25">
      <c r="A11" s="7">
        <v>3.6123599479677742</v>
      </c>
      <c r="B11" s="8">
        <v>-0.1480337543433897</v>
      </c>
      <c r="C11" s="8">
        <v>-4.9402680491975071</v>
      </c>
    </row>
  </sheetData>
  <mergeCells count="1">
    <mergeCell ref="A1:C1"/>
  </mergeCells>
  <pageMargins left="0.75" right="0.75" top="1" bottom="1" header="0.5" footer="0.5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5"/>
  <sheetViews>
    <sheetView workbookViewId="0">
      <selection activeCell="V20" sqref="V20"/>
    </sheetView>
  </sheetViews>
  <sheetFormatPr defaultRowHeight="15" x14ac:dyDescent="0.25"/>
  <sheetData>
    <row r="1" spans="1:25" x14ac:dyDescent="0.25">
      <c r="A1" t="s">
        <v>30</v>
      </c>
    </row>
    <row r="2" spans="1:25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</row>
    <row r="3" spans="1:25" x14ac:dyDescent="0.25">
      <c r="A3">
        <v>1</v>
      </c>
      <c r="B3">
        <v>1</v>
      </c>
      <c r="D3" t="s">
        <v>48</v>
      </c>
      <c r="E3" t="s">
        <v>49</v>
      </c>
      <c r="F3" t="s">
        <v>50</v>
      </c>
      <c r="G3" t="s">
        <v>51</v>
      </c>
      <c r="H3" t="s">
        <v>51</v>
      </c>
      <c r="I3" t="s">
        <v>52</v>
      </c>
      <c r="J3" t="s">
        <v>53</v>
      </c>
      <c r="K3">
        <v>1</v>
      </c>
      <c r="L3" t="s">
        <v>232</v>
      </c>
      <c r="M3">
        <v>0</v>
      </c>
      <c r="N3">
        <v>0</v>
      </c>
      <c r="O3" t="s">
        <v>54</v>
      </c>
      <c r="P3">
        <v>0</v>
      </c>
      <c r="Q3" t="s">
        <v>55</v>
      </c>
    </row>
    <row r="5" spans="1:25" x14ac:dyDescent="0.25">
      <c r="A5" t="s">
        <v>234</v>
      </c>
    </row>
    <row r="6" spans="1:25" x14ac:dyDescent="0.2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</row>
    <row r="7" spans="1:25" x14ac:dyDescent="0.25">
      <c r="A7" t="s">
        <v>56</v>
      </c>
    </row>
    <row r="8" spans="1:25" x14ac:dyDescent="0.25">
      <c r="A8" t="s">
        <v>57</v>
      </c>
      <c r="B8">
        <v>56634</v>
      </c>
      <c r="C8">
        <v>57830</v>
      </c>
      <c r="D8">
        <v>40671</v>
      </c>
      <c r="E8">
        <v>45291</v>
      </c>
      <c r="F8">
        <v>48737</v>
      </c>
      <c r="G8">
        <v>50198</v>
      </c>
      <c r="H8">
        <v>48086</v>
      </c>
      <c r="I8">
        <v>25605</v>
      </c>
      <c r="J8">
        <v>44359</v>
      </c>
      <c r="K8">
        <v>16257</v>
      </c>
      <c r="L8">
        <v>6595</v>
      </c>
      <c r="M8">
        <v>14006</v>
      </c>
    </row>
    <row r="9" spans="1:25" x14ac:dyDescent="0.25">
      <c r="A9" t="s">
        <v>58</v>
      </c>
    </row>
    <row r="10" spans="1:25" x14ac:dyDescent="0.25">
      <c r="A10" t="s">
        <v>59</v>
      </c>
      <c r="B10">
        <v>63977</v>
      </c>
      <c r="C10">
        <v>59715</v>
      </c>
      <c r="D10">
        <v>40647</v>
      </c>
      <c r="E10">
        <v>48555</v>
      </c>
      <c r="F10">
        <v>51431</v>
      </c>
      <c r="G10">
        <v>51772</v>
      </c>
      <c r="H10">
        <v>50165</v>
      </c>
      <c r="I10">
        <v>34536</v>
      </c>
      <c r="J10">
        <v>54213</v>
      </c>
      <c r="K10">
        <v>5925</v>
      </c>
      <c r="L10">
        <v>2630</v>
      </c>
      <c r="M10">
        <v>5958</v>
      </c>
    </row>
    <row r="11" spans="1:25" x14ac:dyDescent="0.25">
      <c r="A11" t="s">
        <v>60</v>
      </c>
    </row>
    <row r="12" spans="1:25" x14ac:dyDescent="0.25">
      <c r="A12" t="s">
        <v>61</v>
      </c>
      <c r="B12">
        <v>63637</v>
      </c>
      <c r="C12">
        <v>58470</v>
      </c>
      <c r="D12">
        <v>39638</v>
      </c>
      <c r="E12">
        <v>43681</v>
      </c>
      <c r="F12">
        <v>45021</v>
      </c>
      <c r="G12">
        <v>46222</v>
      </c>
      <c r="H12">
        <v>7021</v>
      </c>
      <c r="I12">
        <v>7414</v>
      </c>
      <c r="J12">
        <v>3489</v>
      </c>
      <c r="K12">
        <v>3015</v>
      </c>
      <c r="L12">
        <v>1109</v>
      </c>
      <c r="M12">
        <v>2989</v>
      </c>
    </row>
    <row r="13" spans="1:25" x14ac:dyDescent="0.25">
      <c r="A13" t="s">
        <v>62</v>
      </c>
    </row>
    <row r="14" spans="1:25" x14ac:dyDescent="0.25">
      <c r="A14" t="s">
        <v>63</v>
      </c>
      <c r="B14">
        <v>61161</v>
      </c>
      <c r="C14">
        <v>59077</v>
      </c>
      <c r="D14">
        <v>38730</v>
      </c>
      <c r="E14">
        <v>48487</v>
      </c>
      <c r="F14">
        <v>46538</v>
      </c>
      <c r="G14">
        <v>40328</v>
      </c>
      <c r="H14">
        <v>17114</v>
      </c>
      <c r="I14">
        <v>4600</v>
      </c>
      <c r="J14">
        <v>2256</v>
      </c>
      <c r="K14">
        <v>2313</v>
      </c>
      <c r="L14">
        <v>2168</v>
      </c>
      <c r="M14">
        <v>1368</v>
      </c>
    </row>
    <row r="15" spans="1:25" x14ac:dyDescent="0.25">
      <c r="A15" t="s">
        <v>64</v>
      </c>
    </row>
    <row r="16" spans="1:25" x14ac:dyDescent="0.25">
      <c r="A16" t="s">
        <v>65</v>
      </c>
      <c r="B16">
        <v>69023</v>
      </c>
      <c r="C16">
        <v>60203</v>
      </c>
      <c r="D16">
        <v>3075</v>
      </c>
      <c r="E16">
        <v>1082</v>
      </c>
      <c r="F16">
        <v>655</v>
      </c>
      <c r="G16">
        <v>773</v>
      </c>
      <c r="H16">
        <v>527</v>
      </c>
      <c r="I16">
        <v>402</v>
      </c>
      <c r="J16">
        <v>437</v>
      </c>
      <c r="K16">
        <v>523</v>
      </c>
      <c r="L16">
        <v>437</v>
      </c>
      <c r="M16">
        <v>326</v>
      </c>
    </row>
    <row r="17" spans="1:13" x14ac:dyDescent="0.25">
      <c r="A17" t="s">
        <v>66</v>
      </c>
    </row>
    <row r="18" spans="1:13" x14ac:dyDescent="0.25">
      <c r="A18" t="s">
        <v>67</v>
      </c>
      <c r="B18">
        <v>64610</v>
      </c>
      <c r="C18">
        <v>55986</v>
      </c>
      <c r="D18">
        <v>4421</v>
      </c>
      <c r="E18">
        <v>802</v>
      </c>
      <c r="F18">
        <v>1244</v>
      </c>
      <c r="G18">
        <v>506</v>
      </c>
      <c r="H18">
        <v>571</v>
      </c>
      <c r="I18">
        <v>411</v>
      </c>
      <c r="J18">
        <v>442</v>
      </c>
      <c r="K18">
        <v>398</v>
      </c>
      <c r="L18">
        <v>431</v>
      </c>
      <c r="M18">
        <v>330</v>
      </c>
    </row>
    <row r="19" spans="1:13" x14ac:dyDescent="0.25">
      <c r="A19" t="s">
        <v>68</v>
      </c>
    </row>
    <row r="20" spans="1:13" x14ac:dyDescent="0.25">
      <c r="A20" t="s">
        <v>69</v>
      </c>
      <c r="B20">
        <v>57206</v>
      </c>
      <c r="C20">
        <v>58488</v>
      </c>
      <c r="D20">
        <v>14689</v>
      </c>
      <c r="E20">
        <v>727</v>
      </c>
      <c r="F20">
        <v>2891</v>
      </c>
      <c r="G20">
        <v>561</v>
      </c>
      <c r="H20">
        <v>448</v>
      </c>
      <c r="I20">
        <v>481</v>
      </c>
      <c r="J20">
        <v>476</v>
      </c>
      <c r="K20">
        <v>407</v>
      </c>
      <c r="L20">
        <v>417</v>
      </c>
      <c r="M20">
        <v>345</v>
      </c>
    </row>
    <row r="21" spans="1:13" x14ac:dyDescent="0.25">
      <c r="A21" t="s">
        <v>70</v>
      </c>
    </row>
    <row r="22" spans="1:13" x14ac:dyDescent="0.25">
      <c r="A22" t="s">
        <v>71</v>
      </c>
      <c r="B22">
        <v>55666</v>
      </c>
      <c r="C22">
        <v>56217</v>
      </c>
      <c r="D22">
        <v>16519</v>
      </c>
      <c r="E22">
        <v>1930</v>
      </c>
      <c r="F22">
        <v>1144</v>
      </c>
      <c r="G22">
        <v>498</v>
      </c>
      <c r="H22">
        <v>381</v>
      </c>
      <c r="I22">
        <v>362</v>
      </c>
      <c r="J22">
        <v>332</v>
      </c>
      <c r="K22">
        <v>395</v>
      </c>
      <c r="L22">
        <v>356</v>
      </c>
      <c r="M22">
        <v>353</v>
      </c>
    </row>
    <row r="25" spans="1:13" x14ac:dyDescent="0.25">
      <c r="A25" t="s">
        <v>72</v>
      </c>
    </row>
    <row r="26" spans="1:13" x14ac:dyDescent="0.25">
      <c r="A26" t="s">
        <v>73</v>
      </c>
      <c r="E26">
        <v>19338</v>
      </c>
    </row>
    <row r="27" spans="1:13" x14ac:dyDescent="0.25">
      <c r="A27" t="s">
        <v>74</v>
      </c>
      <c r="E27" t="s">
        <v>75</v>
      </c>
    </row>
    <row r="28" spans="1:13" x14ac:dyDescent="0.25">
      <c r="A28" t="s">
        <v>76</v>
      </c>
      <c r="E28" t="s">
        <v>77</v>
      </c>
    </row>
    <row r="29" spans="1:13" x14ac:dyDescent="0.25">
      <c r="A29" t="s">
        <v>78</v>
      </c>
      <c r="E29" t="s">
        <v>79</v>
      </c>
    </row>
    <row r="30" spans="1:13" x14ac:dyDescent="0.25">
      <c r="A30" t="s">
        <v>80</v>
      </c>
      <c r="E30">
        <v>100437</v>
      </c>
    </row>
    <row r="31" spans="1:13" x14ac:dyDescent="0.25">
      <c r="A31" t="s">
        <v>81</v>
      </c>
      <c r="E31" t="s">
        <v>233</v>
      </c>
    </row>
    <row r="32" spans="1:13" x14ac:dyDescent="0.25">
      <c r="A32" t="s">
        <v>82</v>
      </c>
      <c r="E32">
        <v>1041132</v>
      </c>
    </row>
    <row r="36" spans="1:5" x14ac:dyDescent="0.25">
      <c r="A36" t="s">
        <v>83</v>
      </c>
    </row>
    <row r="37" spans="1:5" x14ac:dyDescent="0.25">
      <c r="A37" t="s">
        <v>84</v>
      </c>
    </row>
    <row r="38" spans="1:5" x14ac:dyDescent="0.25">
      <c r="A38" t="s">
        <v>85</v>
      </c>
      <c r="E38" t="s">
        <v>233</v>
      </c>
    </row>
    <row r="39" spans="1:5" x14ac:dyDescent="0.25">
      <c r="A39" t="s">
        <v>86</v>
      </c>
      <c r="E39">
        <v>1</v>
      </c>
    </row>
    <row r="40" spans="1:5" x14ac:dyDescent="0.25">
      <c r="A40" t="s">
        <v>87</v>
      </c>
      <c r="E40" t="s">
        <v>88</v>
      </c>
    </row>
    <row r="41" spans="1:5" x14ac:dyDescent="0.25">
      <c r="A41" t="s">
        <v>89</v>
      </c>
      <c r="E41">
        <v>1</v>
      </c>
    </row>
    <row r="42" spans="1:5" x14ac:dyDescent="0.25">
      <c r="A42" t="s">
        <v>90</v>
      </c>
      <c r="E42" t="s">
        <v>88</v>
      </c>
    </row>
    <row r="43" spans="1:5" x14ac:dyDescent="0.25">
      <c r="A43" t="s">
        <v>91</v>
      </c>
      <c r="E43" t="s">
        <v>92</v>
      </c>
    </row>
    <row r="44" spans="1:5" x14ac:dyDescent="0.25">
      <c r="A44" t="s">
        <v>93</v>
      </c>
      <c r="E44" t="s">
        <v>94</v>
      </c>
    </row>
    <row r="45" spans="1:5" x14ac:dyDescent="0.25">
      <c r="A45" t="s">
        <v>95</v>
      </c>
      <c r="E45" t="s">
        <v>96</v>
      </c>
    </row>
    <row r="46" spans="1:5" x14ac:dyDescent="0.25">
      <c r="A46" t="s">
        <v>97</v>
      </c>
      <c r="E46" t="s">
        <v>98</v>
      </c>
    </row>
    <row r="47" spans="1:5" x14ac:dyDescent="0.25">
      <c r="A47" t="s">
        <v>99</v>
      </c>
      <c r="E47" t="s">
        <v>96</v>
      </c>
    </row>
    <row r="48" spans="1:5" x14ac:dyDescent="0.25">
      <c r="A48" t="s">
        <v>100</v>
      </c>
      <c r="E48" t="s">
        <v>96</v>
      </c>
    </row>
    <row r="49" spans="1:5" x14ac:dyDescent="0.25">
      <c r="A49" t="s">
        <v>101</v>
      </c>
    </row>
    <row r="51" spans="1:5" x14ac:dyDescent="0.25">
      <c r="A51" t="s">
        <v>102</v>
      </c>
    </row>
    <row r="52" spans="1:5" x14ac:dyDescent="0.25">
      <c r="A52" t="s">
        <v>103</v>
      </c>
      <c r="E52" t="s">
        <v>104</v>
      </c>
    </row>
    <row r="53" spans="1:5" x14ac:dyDescent="0.25">
      <c r="A53" t="s">
        <v>105</v>
      </c>
      <c r="E53">
        <v>16</v>
      </c>
    </row>
    <row r="54" spans="1:5" x14ac:dyDescent="0.25">
      <c r="A54" t="s">
        <v>106</v>
      </c>
      <c r="E54">
        <v>24</v>
      </c>
    </row>
    <row r="55" spans="1:5" x14ac:dyDescent="0.25">
      <c r="A55" t="s">
        <v>107</v>
      </c>
      <c r="E55">
        <v>384</v>
      </c>
    </row>
    <row r="56" spans="1:5" x14ac:dyDescent="0.25">
      <c r="A56" t="s">
        <v>108</v>
      </c>
      <c r="E56" t="s">
        <v>109</v>
      </c>
    </row>
    <row r="58" spans="1:5" x14ac:dyDescent="0.25">
      <c r="A58" t="s">
        <v>110</v>
      </c>
    </row>
    <row r="59" spans="1:5" x14ac:dyDescent="0.25">
      <c r="A59" t="s">
        <v>111</v>
      </c>
    </row>
    <row r="60" spans="1:5" x14ac:dyDescent="0.25">
      <c r="A60" t="s">
        <v>112</v>
      </c>
    </row>
    <row r="61" spans="1:5" x14ac:dyDescent="0.25">
      <c r="A61" t="s">
        <v>113</v>
      </c>
    </row>
    <row r="63" spans="1:5" x14ac:dyDescent="0.25">
      <c r="A63" t="s">
        <v>114</v>
      </c>
    </row>
    <row r="64" spans="1:5" x14ac:dyDescent="0.25">
      <c r="A64" t="s">
        <v>115</v>
      </c>
    </row>
    <row r="66" spans="1:25" x14ac:dyDescent="0.25">
      <c r="A66" t="s">
        <v>116</v>
      </c>
    </row>
    <row r="67" spans="1:25" x14ac:dyDescent="0.25">
      <c r="A67" t="s">
        <v>31</v>
      </c>
      <c r="E67">
        <v>1</v>
      </c>
    </row>
    <row r="68" spans="1:25" x14ac:dyDescent="0.25">
      <c r="A68" t="s">
        <v>41</v>
      </c>
      <c r="E68">
        <v>1</v>
      </c>
    </row>
    <row r="70" spans="1:25" x14ac:dyDescent="0.25"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  <c r="N70">
        <v>13</v>
      </c>
      <c r="O70">
        <v>14</v>
      </c>
      <c r="P70">
        <v>15</v>
      </c>
      <c r="Q70">
        <v>16</v>
      </c>
      <c r="R70">
        <v>17</v>
      </c>
      <c r="S70">
        <v>18</v>
      </c>
      <c r="T70">
        <v>19</v>
      </c>
      <c r="U70">
        <v>20</v>
      </c>
      <c r="V70">
        <v>21</v>
      </c>
      <c r="W70">
        <v>22</v>
      </c>
      <c r="X70">
        <v>23</v>
      </c>
      <c r="Y70">
        <v>24</v>
      </c>
    </row>
    <row r="71" spans="1:25" x14ac:dyDescent="0.25">
      <c r="A71" t="s">
        <v>56</v>
      </c>
    </row>
    <row r="72" spans="1:25" x14ac:dyDescent="0.25">
      <c r="A72" t="s">
        <v>57</v>
      </c>
      <c r="B72" t="s">
        <v>117</v>
      </c>
      <c r="C72" t="s">
        <v>117</v>
      </c>
      <c r="D72" t="s">
        <v>117</v>
      </c>
      <c r="E72" t="s">
        <v>117</v>
      </c>
      <c r="F72" t="s">
        <v>117</v>
      </c>
      <c r="G72" t="s">
        <v>117</v>
      </c>
      <c r="H72" t="s">
        <v>117</v>
      </c>
      <c r="I72" t="s">
        <v>117</v>
      </c>
      <c r="J72" t="s">
        <v>117</v>
      </c>
      <c r="K72" t="s">
        <v>117</v>
      </c>
      <c r="L72" t="s">
        <v>117</v>
      </c>
      <c r="M72" t="s">
        <v>117</v>
      </c>
    </row>
    <row r="73" spans="1:25" x14ac:dyDescent="0.25">
      <c r="A73" t="s">
        <v>58</v>
      </c>
    </row>
    <row r="74" spans="1:25" x14ac:dyDescent="0.25">
      <c r="A74" t="s">
        <v>59</v>
      </c>
      <c r="B74" t="s">
        <v>117</v>
      </c>
      <c r="C74" t="s">
        <v>117</v>
      </c>
      <c r="D74" t="s">
        <v>117</v>
      </c>
      <c r="E74" t="s">
        <v>117</v>
      </c>
      <c r="F74" t="s">
        <v>117</v>
      </c>
      <c r="G74" t="s">
        <v>117</v>
      </c>
      <c r="H74" t="s">
        <v>117</v>
      </c>
      <c r="I74" t="s">
        <v>117</v>
      </c>
      <c r="J74" t="s">
        <v>117</v>
      </c>
      <c r="K74" t="s">
        <v>117</v>
      </c>
      <c r="L74" t="s">
        <v>117</v>
      </c>
      <c r="M74" t="s">
        <v>117</v>
      </c>
    </row>
    <row r="75" spans="1:25" x14ac:dyDescent="0.25">
      <c r="A75" t="s">
        <v>60</v>
      </c>
    </row>
    <row r="76" spans="1:25" x14ac:dyDescent="0.25">
      <c r="A76" t="s">
        <v>61</v>
      </c>
      <c r="B76" t="s">
        <v>117</v>
      </c>
      <c r="C76" t="s">
        <v>117</v>
      </c>
      <c r="D76" t="s">
        <v>117</v>
      </c>
      <c r="E76" t="s">
        <v>117</v>
      </c>
      <c r="F76" t="s">
        <v>117</v>
      </c>
      <c r="G76" t="s">
        <v>117</v>
      </c>
      <c r="H76" t="s">
        <v>117</v>
      </c>
      <c r="I76" t="s">
        <v>117</v>
      </c>
      <c r="J76" t="s">
        <v>117</v>
      </c>
      <c r="K76" t="s">
        <v>117</v>
      </c>
      <c r="L76" t="s">
        <v>117</v>
      </c>
      <c r="M76" t="s">
        <v>117</v>
      </c>
    </row>
    <row r="77" spans="1:25" x14ac:dyDescent="0.25">
      <c r="A77" t="s">
        <v>62</v>
      </c>
    </row>
    <row r="78" spans="1:25" x14ac:dyDescent="0.25">
      <c r="A78" t="s">
        <v>63</v>
      </c>
      <c r="B78" t="s">
        <v>117</v>
      </c>
      <c r="C78" t="s">
        <v>117</v>
      </c>
      <c r="D78" t="s">
        <v>117</v>
      </c>
      <c r="E78" t="s">
        <v>117</v>
      </c>
      <c r="F78" t="s">
        <v>117</v>
      </c>
      <c r="G78" t="s">
        <v>117</v>
      </c>
      <c r="H78" t="s">
        <v>117</v>
      </c>
      <c r="I78" t="s">
        <v>117</v>
      </c>
      <c r="J78" t="s">
        <v>117</v>
      </c>
      <c r="K78" t="s">
        <v>117</v>
      </c>
      <c r="L78" t="s">
        <v>117</v>
      </c>
      <c r="M78" t="s">
        <v>117</v>
      </c>
    </row>
    <row r="79" spans="1:25" x14ac:dyDescent="0.25">
      <c r="A79" t="s">
        <v>64</v>
      </c>
    </row>
    <row r="80" spans="1:25" x14ac:dyDescent="0.25">
      <c r="A80" t="s">
        <v>65</v>
      </c>
      <c r="B80" t="s">
        <v>117</v>
      </c>
      <c r="C80" t="s">
        <v>117</v>
      </c>
      <c r="D80" t="s">
        <v>117</v>
      </c>
      <c r="E80" t="s">
        <v>117</v>
      </c>
      <c r="F80" t="s">
        <v>117</v>
      </c>
      <c r="G80" t="s">
        <v>117</v>
      </c>
      <c r="H80" t="s">
        <v>117</v>
      </c>
      <c r="I80" t="s">
        <v>117</v>
      </c>
      <c r="J80" t="s">
        <v>117</v>
      </c>
      <c r="K80" t="s">
        <v>117</v>
      </c>
      <c r="L80" t="s">
        <v>117</v>
      </c>
      <c r="M80" t="s">
        <v>117</v>
      </c>
    </row>
    <row r="81" spans="1:13" x14ac:dyDescent="0.25">
      <c r="A81" t="s">
        <v>66</v>
      </c>
    </row>
    <row r="82" spans="1:13" x14ac:dyDescent="0.25">
      <c r="A82" t="s">
        <v>67</v>
      </c>
      <c r="B82" t="s">
        <v>117</v>
      </c>
      <c r="C82" t="s">
        <v>117</v>
      </c>
      <c r="D82" t="s">
        <v>117</v>
      </c>
      <c r="E82" t="s">
        <v>117</v>
      </c>
      <c r="F82" t="s">
        <v>117</v>
      </c>
      <c r="G82" t="s">
        <v>117</v>
      </c>
      <c r="H82" t="s">
        <v>117</v>
      </c>
      <c r="I82" t="s">
        <v>117</v>
      </c>
      <c r="J82" t="s">
        <v>117</v>
      </c>
      <c r="K82" t="s">
        <v>117</v>
      </c>
      <c r="L82" t="s">
        <v>117</v>
      </c>
      <c r="M82" t="s">
        <v>117</v>
      </c>
    </row>
    <row r="83" spans="1:13" x14ac:dyDescent="0.25">
      <c r="A83" t="s">
        <v>68</v>
      </c>
    </row>
    <row r="84" spans="1:13" x14ac:dyDescent="0.25">
      <c r="A84" t="s">
        <v>69</v>
      </c>
      <c r="B84" t="s">
        <v>117</v>
      </c>
      <c r="C84" t="s">
        <v>117</v>
      </c>
      <c r="D84" t="s">
        <v>117</v>
      </c>
      <c r="E84" t="s">
        <v>117</v>
      </c>
      <c r="F84" t="s">
        <v>117</v>
      </c>
      <c r="G84" t="s">
        <v>117</v>
      </c>
      <c r="H84" t="s">
        <v>117</v>
      </c>
      <c r="I84" t="s">
        <v>117</v>
      </c>
      <c r="J84" t="s">
        <v>117</v>
      </c>
      <c r="K84" t="s">
        <v>117</v>
      </c>
      <c r="L84" t="s">
        <v>117</v>
      </c>
      <c r="M84" t="s">
        <v>117</v>
      </c>
    </row>
    <row r="85" spans="1:13" x14ac:dyDescent="0.25">
      <c r="A85" t="s">
        <v>70</v>
      </c>
    </row>
    <row r="86" spans="1:13" x14ac:dyDescent="0.25">
      <c r="A86" t="s">
        <v>71</v>
      </c>
      <c r="B86" t="s">
        <v>117</v>
      </c>
      <c r="C86" t="s">
        <v>117</v>
      </c>
      <c r="D86" t="s">
        <v>117</v>
      </c>
      <c r="E86" t="s">
        <v>117</v>
      </c>
      <c r="F86" t="s">
        <v>117</v>
      </c>
      <c r="G86" t="s">
        <v>117</v>
      </c>
      <c r="H86" t="s">
        <v>117</v>
      </c>
      <c r="I86" t="s">
        <v>117</v>
      </c>
      <c r="J86" t="s">
        <v>117</v>
      </c>
      <c r="K86" t="s">
        <v>117</v>
      </c>
      <c r="L86" t="s">
        <v>117</v>
      </c>
      <c r="M86" t="s">
        <v>117</v>
      </c>
    </row>
    <row r="88" spans="1:13" x14ac:dyDescent="0.25">
      <c r="A88" t="s">
        <v>118</v>
      </c>
    </row>
    <row r="90" spans="1:13" x14ac:dyDescent="0.25">
      <c r="A90" t="s">
        <v>119</v>
      </c>
    </row>
    <row r="91" spans="1:13" x14ac:dyDescent="0.25">
      <c r="A91" t="s">
        <v>120</v>
      </c>
    </row>
    <row r="93" spans="1:13" x14ac:dyDescent="0.25">
      <c r="A93" t="s">
        <v>121</v>
      </c>
    </row>
    <row r="94" spans="1:13" x14ac:dyDescent="0.25">
      <c r="A94" t="s">
        <v>122</v>
      </c>
      <c r="E94" t="s">
        <v>123</v>
      </c>
    </row>
    <row r="95" spans="1:13" x14ac:dyDescent="0.25">
      <c r="A95" t="s">
        <v>124</v>
      </c>
      <c r="E95" t="s">
        <v>92</v>
      </c>
    </row>
    <row r="96" spans="1:13" x14ac:dyDescent="0.25">
      <c r="A96" t="s">
        <v>125</v>
      </c>
      <c r="E96" t="s">
        <v>126</v>
      </c>
    </row>
    <row r="97" spans="1:5" x14ac:dyDescent="0.25">
      <c r="A97" t="s">
        <v>127</v>
      </c>
      <c r="E97" t="s">
        <v>92</v>
      </c>
    </row>
    <row r="98" spans="1:5" x14ac:dyDescent="0.25">
      <c r="A98" t="s">
        <v>128</v>
      </c>
      <c r="E98" t="s">
        <v>129</v>
      </c>
    </row>
    <row r="99" spans="1:5" x14ac:dyDescent="0.25">
      <c r="A99" t="s">
        <v>130</v>
      </c>
      <c r="E99" t="s">
        <v>92</v>
      </c>
    </row>
    <row r="100" spans="1:5" x14ac:dyDescent="0.25">
      <c r="A100" t="s">
        <v>131</v>
      </c>
      <c r="E100" t="s">
        <v>132</v>
      </c>
    </row>
    <row r="101" spans="1:5" x14ac:dyDescent="0.25">
      <c r="A101" t="s">
        <v>133</v>
      </c>
      <c r="E101" t="s">
        <v>92</v>
      </c>
    </row>
    <row r="102" spans="1:5" x14ac:dyDescent="0.25">
      <c r="A102" t="s">
        <v>134</v>
      </c>
      <c r="E102" t="s">
        <v>92</v>
      </c>
    </row>
    <row r="103" spans="1:5" x14ac:dyDescent="0.25">
      <c r="A103" t="s">
        <v>135</v>
      </c>
      <c r="E103" t="s">
        <v>92</v>
      </c>
    </row>
    <row r="104" spans="1:5" x14ac:dyDescent="0.25">
      <c r="A104" t="s">
        <v>136</v>
      </c>
      <c r="E104" t="s">
        <v>96</v>
      </c>
    </row>
    <row r="105" spans="1:5" x14ac:dyDescent="0.25">
      <c r="A105" t="s">
        <v>137</v>
      </c>
      <c r="E105" t="s">
        <v>138</v>
      </c>
    </row>
    <row r="106" spans="1:5" x14ac:dyDescent="0.25">
      <c r="A106" t="s">
        <v>139</v>
      </c>
      <c r="E106" t="s">
        <v>140</v>
      </c>
    </row>
    <row r="108" spans="1:5" x14ac:dyDescent="0.25">
      <c r="A108" t="s">
        <v>141</v>
      </c>
    </row>
    <row r="109" spans="1:5" x14ac:dyDescent="0.25">
      <c r="A109" t="s">
        <v>142</v>
      </c>
    </row>
    <row r="110" spans="1:5" x14ac:dyDescent="0.25">
      <c r="A110" t="s">
        <v>143</v>
      </c>
    </row>
    <row r="111" spans="1:5" x14ac:dyDescent="0.25">
      <c r="A111" t="s">
        <v>144</v>
      </c>
    </row>
    <row r="112" spans="1:5" x14ac:dyDescent="0.25">
      <c r="A112" t="s">
        <v>145</v>
      </c>
      <c r="E112" t="s">
        <v>232</v>
      </c>
    </row>
    <row r="114" spans="1:5" x14ac:dyDescent="0.25">
      <c r="A114" t="s">
        <v>146</v>
      </c>
    </row>
    <row r="115" spans="1:5" x14ac:dyDescent="0.25">
      <c r="A115" t="s">
        <v>147</v>
      </c>
      <c r="E115">
        <v>4000031</v>
      </c>
    </row>
    <row r="116" spans="1:5" x14ac:dyDescent="0.25">
      <c r="A116" t="s">
        <v>148</v>
      </c>
      <c r="E116" t="s">
        <v>88</v>
      </c>
    </row>
    <row r="117" spans="1:5" x14ac:dyDescent="0.25">
      <c r="A117" t="s">
        <v>149</v>
      </c>
      <c r="E117" t="s">
        <v>88</v>
      </c>
    </row>
    <row r="118" spans="1:5" x14ac:dyDescent="0.25">
      <c r="A118" t="s">
        <v>150</v>
      </c>
      <c r="E118" t="s">
        <v>151</v>
      </c>
    </row>
    <row r="119" spans="1:5" x14ac:dyDescent="0.25">
      <c r="A119" t="s">
        <v>152</v>
      </c>
      <c r="E119" t="s">
        <v>153</v>
      </c>
    </row>
    <row r="120" spans="1:5" x14ac:dyDescent="0.25">
      <c r="A120" t="s">
        <v>154</v>
      </c>
      <c r="E120" t="s">
        <v>88</v>
      </c>
    </row>
    <row r="121" spans="1:5" x14ac:dyDescent="0.25">
      <c r="A121" t="s">
        <v>155</v>
      </c>
      <c r="E121" t="s">
        <v>153</v>
      </c>
    </row>
    <row r="122" spans="1:5" x14ac:dyDescent="0.25">
      <c r="A122" t="s">
        <v>156</v>
      </c>
      <c r="E122" t="s">
        <v>157</v>
      </c>
    </row>
    <row r="123" spans="1:5" x14ac:dyDescent="0.25">
      <c r="A123" t="s">
        <v>158</v>
      </c>
      <c r="E123" t="s">
        <v>88</v>
      </c>
    </row>
    <row r="124" spans="1:5" x14ac:dyDescent="0.25">
      <c r="A124" t="s">
        <v>159</v>
      </c>
      <c r="E124" t="s">
        <v>88</v>
      </c>
    </row>
    <row r="125" spans="1:5" x14ac:dyDescent="0.25">
      <c r="A125" t="s">
        <v>160</v>
      </c>
      <c r="E125" t="s">
        <v>161</v>
      </c>
    </row>
    <row r="126" spans="1:5" x14ac:dyDescent="0.25">
      <c r="A126" t="s">
        <v>162</v>
      </c>
      <c r="E126" t="s">
        <v>163</v>
      </c>
    </row>
    <row r="127" spans="1:5" x14ac:dyDescent="0.25">
      <c r="A127" t="s">
        <v>164</v>
      </c>
      <c r="E127">
        <v>100</v>
      </c>
    </row>
    <row r="128" spans="1:5" x14ac:dyDescent="0.25">
      <c r="A128" t="s">
        <v>165</v>
      </c>
      <c r="E128">
        <v>100</v>
      </c>
    </row>
    <row r="129" spans="1:5" x14ac:dyDescent="0.25">
      <c r="A129" t="s">
        <v>166</v>
      </c>
      <c r="E129">
        <v>750</v>
      </c>
    </row>
    <row r="130" spans="1:5" x14ac:dyDescent="0.25">
      <c r="A130" t="s">
        <v>167</v>
      </c>
      <c r="E130" s="1">
        <v>1</v>
      </c>
    </row>
    <row r="131" spans="1:5" x14ac:dyDescent="0.25">
      <c r="A131" t="s">
        <v>168</v>
      </c>
      <c r="E131" s="1">
        <v>1</v>
      </c>
    </row>
    <row r="132" spans="1:5" x14ac:dyDescent="0.25">
      <c r="A132" t="s">
        <v>169</v>
      </c>
      <c r="E132" s="1">
        <v>1</v>
      </c>
    </row>
    <row r="133" spans="1:5" x14ac:dyDescent="0.25">
      <c r="A133" t="s">
        <v>170</v>
      </c>
      <c r="E133">
        <v>8</v>
      </c>
    </row>
    <row r="134" spans="1:5" x14ac:dyDescent="0.25">
      <c r="A134" t="s">
        <v>171</v>
      </c>
      <c r="E134">
        <v>3004</v>
      </c>
    </row>
    <row r="135" spans="1:5" x14ac:dyDescent="0.25">
      <c r="A135" t="s">
        <v>172</v>
      </c>
      <c r="E135" s="1">
        <v>1</v>
      </c>
    </row>
    <row r="136" spans="1:5" x14ac:dyDescent="0.25">
      <c r="A136" t="s">
        <v>173</v>
      </c>
      <c r="E136" s="1">
        <v>1</v>
      </c>
    </row>
    <row r="137" spans="1:5" x14ac:dyDescent="0.25">
      <c r="A137" t="s">
        <v>174</v>
      </c>
      <c r="E137">
        <v>1</v>
      </c>
    </row>
    <row r="138" spans="1:5" x14ac:dyDescent="0.25">
      <c r="A138" t="s">
        <v>175</v>
      </c>
      <c r="E138">
        <v>0</v>
      </c>
    </row>
    <row r="139" spans="1:5" x14ac:dyDescent="0.25">
      <c r="A139" t="s">
        <v>176</v>
      </c>
      <c r="E139" s="2">
        <v>41466.456250000003</v>
      </c>
    </row>
    <row r="140" spans="1:5" x14ac:dyDescent="0.25">
      <c r="A140" t="s">
        <v>177</v>
      </c>
      <c r="E140" t="s">
        <v>178</v>
      </c>
    </row>
    <row r="141" spans="1:5" x14ac:dyDescent="0.25">
      <c r="A141" t="s">
        <v>179</v>
      </c>
      <c r="E141" t="s">
        <v>96</v>
      </c>
    </row>
    <row r="143" spans="1:5" x14ac:dyDescent="0.25">
      <c r="A143" t="s">
        <v>180</v>
      </c>
    </row>
    <row r="144" spans="1:5" x14ac:dyDescent="0.25">
      <c r="A144" t="s">
        <v>151</v>
      </c>
      <c r="E144">
        <v>141</v>
      </c>
    </row>
    <row r="145" spans="1:5" x14ac:dyDescent="0.25">
      <c r="A145" t="s">
        <v>181</v>
      </c>
      <c r="E145" t="s">
        <v>182</v>
      </c>
    </row>
    <row r="146" spans="1:5" x14ac:dyDescent="0.25">
      <c r="A146" t="s">
        <v>183</v>
      </c>
      <c r="E146" t="s">
        <v>184</v>
      </c>
    </row>
    <row r="147" spans="1:5" x14ac:dyDescent="0.25">
      <c r="A147" t="s">
        <v>185</v>
      </c>
    </row>
    <row r="148" spans="1:5" x14ac:dyDescent="0.25">
      <c r="A148" t="s">
        <v>176</v>
      </c>
      <c r="E148" t="s">
        <v>186</v>
      </c>
    </row>
    <row r="149" spans="1:5" x14ac:dyDescent="0.25">
      <c r="A149" t="s">
        <v>177</v>
      </c>
      <c r="E149" t="s">
        <v>187</v>
      </c>
    </row>
    <row r="150" spans="1:5" x14ac:dyDescent="0.25">
      <c r="A150" t="s">
        <v>179</v>
      </c>
      <c r="E150" t="s">
        <v>92</v>
      </c>
    </row>
    <row r="152" spans="1:5" x14ac:dyDescent="0.25">
      <c r="A152" t="s">
        <v>188</v>
      </c>
      <c r="E152">
        <v>142</v>
      </c>
    </row>
    <row r="153" spans="1:5" x14ac:dyDescent="0.25">
      <c r="A153" t="s">
        <v>181</v>
      </c>
      <c r="E153" t="s">
        <v>182</v>
      </c>
    </row>
    <row r="154" spans="1:5" x14ac:dyDescent="0.25">
      <c r="A154" t="s">
        <v>183</v>
      </c>
      <c r="E154" t="s">
        <v>189</v>
      </c>
    </row>
    <row r="155" spans="1:5" x14ac:dyDescent="0.25">
      <c r="A155" t="s">
        <v>185</v>
      </c>
    </row>
    <row r="156" spans="1:5" x14ac:dyDescent="0.25">
      <c r="A156" t="s">
        <v>176</v>
      </c>
      <c r="E156" t="s">
        <v>186</v>
      </c>
    </row>
    <row r="157" spans="1:5" x14ac:dyDescent="0.25">
      <c r="A157" t="s">
        <v>177</v>
      </c>
      <c r="E157" t="s">
        <v>187</v>
      </c>
    </row>
    <row r="158" spans="1:5" x14ac:dyDescent="0.25">
      <c r="A158" t="s">
        <v>179</v>
      </c>
      <c r="E158" t="s">
        <v>92</v>
      </c>
    </row>
    <row r="160" spans="1:5" x14ac:dyDescent="0.25">
      <c r="A160" t="s">
        <v>190</v>
      </c>
    </row>
    <row r="161" spans="1:5" x14ac:dyDescent="0.25">
      <c r="A161" t="s">
        <v>191</v>
      </c>
      <c r="E161">
        <v>1041132</v>
      </c>
    </row>
    <row r="162" spans="1:5" x14ac:dyDescent="0.25">
      <c r="A162" t="s">
        <v>192</v>
      </c>
      <c r="E162" t="s">
        <v>178</v>
      </c>
    </row>
    <row r="167" spans="1:5" x14ac:dyDescent="0.25">
      <c r="A167" t="s">
        <v>193</v>
      </c>
    </row>
    <row r="168" spans="1:5" x14ac:dyDescent="0.25">
      <c r="A168" t="s">
        <v>194</v>
      </c>
    </row>
    <row r="169" spans="1:5" x14ac:dyDescent="0.25">
      <c r="A169" t="s">
        <v>195</v>
      </c>
    </row>
    <row r="170" spans="1:5" x14ac:dyDescent="0.25">
      <c r="A170" t="s">
        <v>196</v>
      </c>
    </row>
    <row r="171" spans="1:5" x14ac:dyDescent="0.25">
      <c r="A171" t="s">
        <v>197</v>
      </c>
    </row>
    <row r="175" spans="1:5" x14ac:dyDescent="0.25">
      <c r="A175" t="s">
        <v>198</v>
      </c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Narrow"&amp;11&amp;K000000&amp;"Aptos Narrow"&amp;11&amp;K000000&amp;"Calibri"&amp;1 &amp;K000000 TUNI Luottamuksellinen - Confidential (3Y)#_x000D_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7" customWidth="1"/>
  </cols>
  <sheetData>
    <row r="1" spans="1:4" x14ac:dyDescent="0.25">
      <c r="A1" s="5" t="s">
        <v>199</v>
      </c>
    </row>
    <row r="2" spans="1:4" x14ac:dyDescent="0.25">
      <c r="B2" s="9" t="s">
        <v>200</v>
      </c>
      <c r="C2" s="9" t="s">
        <v>201</v>
      </c>
      <c r="D2" s="9" t="s">
        <v>202</v>
      </c>
    </row>
    <row r="3" spans="1:4" x14ac:dyDescent="0.25">
      <c r="A3" s="10" t="s">
        <v>203</v>
      </c>
      <c r="B3" s="11">
        <v>59868.75</v>
      </c>
      <c r="C3" s="11">
        <v>29934.375</v>
      </c>
      <c r="D3" s="11">
        <v>3754.435270450138</v>
      </c>
    </row>
    <row r="4" spans="1:4" x14ac:dyDescent="0.25">
      <c r="A4" s="10" t="s">
        <v>204</v>
      </c>
      <c r="B4" s="11">
        <v>3209.375</v>
      </c>
      <c r="D4" s="11">
        <v>4788.8181046356012</v>
      </c>
    </row>
    <row r="6" spans="1:4" x14ac:dyDescent="0.25">
      <c r="A6" s="5" t="s">
        <v>205</v>
      </c>
    </row>
    <row r="7" spans="1:4" x14ac:dyDescent="0.25">
      <c r="B7" s="9" t="s">
        <v>200</v>
      </c>
      <c r="C7" s="9" t="s">
        <v>201</v>
      </c>
      <c r="D7" s="9" t="s">
        <v>202</v>
      </c>
    </row>
    <row r="8" spans="1:4" x14ac:dyDescent="0.25">
      <c r="A8" s="10" t="s">
        <v>203</v>
      </c>
      <c r="B8" s="11" t="s">
        <v>206</v>
      </c>
      <c r="C8" s="11" t="s">
        <v>206</v>
      </c>
      <c r="D8" s="11" t="s">
        <v>206</v>
      </c>
    </row>
    <row r="9" spans="1:4" x14ac:dyDescent="0.25">
      <c r="A9" s="10" t="s">
        <v>204</v>
      </c>
      <c r="B9" s="11" t="s">
        <v>206</v>
      </c>
      <c r="D9" s="11" t="s">
        <v>206</v>
      </c>
    </row>
    <row r="11" spans="1:4" x14ac:dyDescent="0.25">
      <c r="A11" s="5" t="s">
        <v>207</v>
      </c>
    </row>
    <row r="12" spans="1:4" x14ac:dyDescent="0.25">
      <c r="B12" s="9" t="s">
        <v>200</v>
      </c>
      <c r="C12" s="9" t="s">
        <v>201</v>
      </c>
      <c r="D12" s="9" t="s">
        <v>202</v>
      </c>
    </row>
    <row r="13" spans="1:4" x14ac:dyDescent="0.25">
      <c r="A13" s="10" t="s">
        <v>203</v>
      </c>
      <c r="B13" s="11">
        <v>59868.75</v>
      </c>
      <c r="C13" s="11">
        <v>29934.375</v>
      </c>
      <c r="D13" s="11">
        <v>3754.435270450138</v>
      </c>
    </row>
    <row r="14" spans="1:4" x14ac:dyDescent="0.25">
      <c r="A14" s="10" t="s">
        <v>204</v>
      </c>
      <c r="B14" s="11">
        <v>3209.375</v>
      </c>
      <c r="D14" s="11">
        <v>4788.8181046356012</v>
      </c>
    </row>
    <row r="16" spans="1:4" x14ac:dyDescent="0.25">
      <c r="A16" s="5" t="s">
        <v>208</v>
      </c>
    </row>
    <row r="17" spans="1:4" x14ac:dyDescent="0.25">
      <c r="B17" s="9" t="s">
        <v>200</v>
      </c>
      <c r="C17" s="9" t="s">
        <v>201</v>
      </c>
      <c r="D17" s="9" t="s">
        <v>202</v>
      </c>
    </row>
    <row r="18" spans="1:4" x14ac:dyDescent="0.25">
      <c r="A18" s="10" t="s">
        <v>203</v>
      </c>
      <c r="B18" s="11" t="s">
        <v>206</v>
      </c>
      <c r="C18" s="11" t="s">
        <v>206</v>
      </c>
      <c r="D18" s="11" t="s">
        <v>206</v>
      </c>
    </row>
    <row r="19" spans="1:4" x14ac:dyDescent="0.25">
      <c r="A19" s="10" t="s">
        <v>204</v>
      </c>
      <c r="B19" s="11" t="s">
        <v>206</v>
      </c>
      <c r="D19" s="11" t="s">
        <v>206</v>
      </c>
    </row>
    <row r="21" spans="1:4" x14ac:dyDescent="0.25">
      <c r="A21" s="5" t="s">
        <v>209</v>
      </c>
    </row>
    <row r="22" spans="1:4" x14ac:dyDescent="0.25">
      <c r="B22" s="9" t="s">
        <v>200</v>
      </c>
      <c r="C22" s="9" t="s">
        <v>201</v>
      </c>
      <c r="D22" s="9" t="s">
        <v>202</v>
      </c>
    </row>
    <row r="23" spans="1:4" x14ac:dyDescent="0.25">
      <c r="A23" s="10" t="s">
        <v>203</v>
      </c>
      <c r="B23" s="11" t="s">
        <v>206</v>
      </c>
      <c r="C23" s="11" t="s">
        <v>206</v>
      </c>
      <c r="D23" s="11" t="s">
        <v>206</v>
      </c>
    </row>
    <row r="24" spans="1:4" x14ac:dyDescent="0.25">
      <c r="A24" s="10" t="s">
        <v>204</v>
      </c>
      <c r="B24" s="11" t="s">
        <v>206</v>
      </c>
      <c r="D24" s="11" t="s">
        <v>206</v>
      </c>
    </row>
  </sheetData>
  <pageMargins left="0.75" right="0.75" top="1" bottom="1" header="0.5" footer="0.5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workbookViewId="0"/>
  </sheetViews>
  <sheetFormatPr defaultRowHeight="15" x14ac:dyDescent="0.25"/>
  <cols>
    <col min="1" max="1" width="9" customWidth="1"/>
  </cols>
  <sheetData>
    <row r="1" spans="1:14" x14ac:dyDescent="0.25">
      <c r="A1" s="5" t="s">
        <v>210</v>
      </c>
      <c r="B1" s="6" t="s">
        <v>211</v>
      </c>
    </row>
    <row r="2" spans="1:14" x14ac:dyDescent="0.25">
      <c r="B2" s="9" t="s">
        <v>200</v>
      </c>
      <c r="C2" s="9" t="s">
        <v>201</v>
      </c>
      <c r="D2" s="9" t="s">
        <v>202</v>
      </c>
    </row>
    <row r="3" spans="1:14" x14ac:dyDescent="0.25">
      <c r="A3" s="10" t="s">
        <v>203</v>
      </c>
      <c r="B3" s="11">
        <v>59868.75</v>
      </c>
      <c r="C3" s="11">
        <v>29934.375</v>
      </c>
      <c r="D3" s="11">
        <v>3754.435270450138</v>
      </c>
    </row>
    <row r="4" spans="1:14" x14ac:dyDescent="0.25">
      <c r="A4" s="10" t="s">
        <v>204</v>
      </c>
      <c r="B4" s="11">
        <v>3209.375</v>
      </c>
      <c r="D4" s="11">
        <v>4788.8181046356012</v>
      </c>
    </row>
    <row r="6" spans="1:14" x14ac:dyDescent="0.25">
      <c r="B6" s="5" t="s">
        <v>28</v>
      </c>
      <c r="C6" s="6" t="s">
        <v>28</v>
      </c>
    </row>
    <row r="7" spans="1:14" x14ac:dyDescent="0.25"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K7" t="s">
        <v>220</v>
      </c>
      <c r="L7" t="s">
        <v>221</v>
      </c>
      <c r="M7" t="s">
        <v>222</v>
      </c>
      <c r="N7" t="s">
        <v>223</v>
      </c>
    </row>
    <row r="8" spans="1:14" x14ac:dyDescent="0.25">
      <c r="B8" t="s">
        <v>57</v>
      </c>
      <c r="C8">
        <v>56634</v>
      </c>
      <c r="D8">
        <v>57830</v>
      </c>
      <c r="E8">
        <v>40671</v>
      </c>
      <c r="F8">
        <v>45291</v>
      </c>
      <c r="G8">
        <v>48737</v>
      </c>
      <c r="H8">
        <v>50198</v>
      </c>
      <c r="I8">
        <v>48086</v>
      </c>
      <c r="J8">
        <v>25605</v>
      </c>
      <c r="K8">
        <v>44359</v>
      </c>
      <c r="L8">
        <v>16257</v>
      </c>
      <c r="M8">
        <v>6595</v>
      </c>
      <c r="N8">
        <v>14006</v>
      </c>
    </row>
    <row r="9" spans="1:14" x14ac:dyDescent="0.25">
      <c r="B9" t="s">
        <v>59</v>
      </c>
      <c r="C9">
        <v>63977</v>
      </c>
      <c r="D9">
        <v>59715</v>
      </c>
      <c r="E9">
        <v>40647</v>
      </c>
      <c r="F9">
        <v>48555</v>
      </c>
      <c r="G9">
        <v>51431</v>
      </c>
      <c r="H9">
        <v>51772</v>
      </c>
      <c r="I9">
        <v>50165</v>
      </c>
      <c r="J9">
        <v>34536</v>
      </c>
      <c r="K9">
        <v>54213</v>
      </c>
      <c r="L9">
        <v>5925</v>
      </c>
      <c r="M9">
        <v>2630</v>
      </c>
      <c r="N9">
        <v>5958</v>
      </c>
    </row>
    <row r="10" spans="1:14" x14ac:dyDescent="0.25">
      <c r="B10" t="s">
        <v>61</v>
      </c>
      <c r="C10">
        <v>63637</v>
      </c>
      <c r="D10">
        <v>58470</v>
      </c>
      <c r="E10">
        <v>39638</v>
      </c>
      <c r="F10">
        <v>43681</v>
      </c>
      <c r="G10">
        <v>45021</v>
      </c>
      <c r="H10">
        <v>46222</v>
      </c>
      <c r="I10">
        <v>7021</v>
      </c>
      <c r="J10">
        <v>7414</v>
      </c>
      <c r="K10">
        <v>3489</v>
      </c>
      <c r="L10">
        <v>3015</v>
      </c>
      <c r="M10">
        <v>1109</v>
      </c>
      <c r="N10">
        <v>2989</v>
      </c>
    </row>
    <row r="11" spans="1:14" x14ac:dyDescent="0.25">
      <c r="B11" t="s">
        <v>63</v>
      </c>
      <c r="C11">
        <v>61161</v>
      </c>
      <c r="D11">
        <v>59077</v>
      </c>
      <c r="E11">
        <v>38730</v>
      </c>
      <c r="F11">
        <v>48487</v>
      </c>
      <c r="G11">
        <v>46538</v>
      </c>
      <c r="H11">
        <v>40328</v>
      </c>
      <c r="I11">
        <v>17114</v>
      </c>
      <c r="J11">
        <v>4600</v>
      </c>
      <c r="K11">
        <v>2256</v>
      </c>
      <c r="L11">
        <v>2313</v>
      </c>
      <c r="M11">
        <v>2168</v>
      </c>
      <c r="N11">
        <v>1368</v>
      </c>
    </row>
    <row r="13" spans="1:14" x14ac:dyDescent="0.25">
      <c r="B13" s="5" t="s">
        <v>29</v>
      </c>
      <c r="C13" s="6" t="s">
        <v>29</v>
      </c>
    </row>
    <row r="14" spans="1:14" x14ac:dyDescent="0.25"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K14" t="s">
        <v>220</v>
      </c>
      <c r="L14" t="s">
        <v>221</v>
      </c>
      <c r="M14" t="s">
        <v>222</v>
      </c>
      <c r="N14" t="s">
        <v>223</v>
      </c>
    </row>
    <row r="15" spans="1:14" x14ac:dyDescent="0.25">
      <c r="B15" t="s">
        <v>65</v>
      </c>
      <c r="C15">
        <v>69023</v>
      </c>
      <c r="D15">
        <v>60203</v>
      </c>
      <c r="E15">
        <v>3075</v>
      </c>
      <c r="F15">
        <v>1082</v>
      </c>
      <c r="G15">
        <v>655</v>
      </c>
      <c r="H15">
        <v>773</v>
      </c>
      <c r="I15">
        <v>527</v>
      </c>
      <c r="J15">
        <v>402</v>
      </c>
      <c r="K15">
        <v>437</v>
      </c>
      <c r="L15">
        <v>523</v>
      </c>
      <c r="M15">
        <v>437</v>
      </c>
      <c r="N15">
        <v>326</v>
      </c>
    </row>
    <row r="16" spans="1:14" x14ac:dyDescent="0.25">
      <c r="B16" t="s">
        <v>67</v>
      </c>
      <c r="C16">
        <v>64610</v>
      </c>
      <c r="D16">
        <v>55986</v>
      </c>
      <c r="E16">
        <v>4421</v>
      </c>
      <c r="F16">
        <v>802</v>
      </c>
      <c r="G16">
        <v>1244</v>
      </c>
      <c r="H16">
        <v>506</v>
      </c>
      <c r="I16">
        <v>571</v>
      </c>
      <c r="J16">
        <v>411</v>
      </c>
      <c r="K16">
        <v>442</v>
      </c>
      <c r="L16">
        <v>398</v>
      </c>
      <c r="M16">
        <v>431</v>
      </c>
      <c r="N16">
        <v>330</v>
      </c>
    </row>
    <row r="17" spans="2:14" x14ac:dyDescent="0.25">
      <c r="B17" t="s">
        <v>69</v>
      </c>
      <c r="C17">
        <v>57206</v>
      </c>
      <c r="D17">
        <v>58488</v>
      </c>
      <c r="E17">
        <v>14689</v>
      </c>
      <c r="F17">
        <v>727</v>
      </c>
      <c r="G17">
        <v>2891</v>
      </c>
      <c r="H17">
        <v>561</v>
      </c>
      <c r="I17">
        <v>448</v>
      </c>
      <c r="J17">
        <v>481</v>
      </c>
      <c r="K17">
        <v>476</v>
      </c>
      <c r="L17">
        <v>407</v>
      </c>
      <c r="M17">
        <v>417</v>
      </c>
      <c r="N17">
        <v>345</v>
      </c>
    </row>
    <row r="18" spans="2:14" x14ac:dyDescent="0.25">
      <c r="B18" t="s">
        <v>71</v>
      </c>
      <c r="C18">
        <v>55666</v>
      </c>
      <c r="D18">
        <v>56217</v>
      </c>
      <c r="E18">
        <v>16519</v>
      </c>
      <c r="F18">
        <v>1930</v>
      </c>
      <c r="G18">
        <v>1144</v>
      </c>
      <c r="H18">
        <v>498</v>
      </c>
      <c r="I18">
        <v>381</v>
      </c>
      <c r="J18">
        <v>362</v>
      </c>
      <c r="K18">
        <v>332</v>
      </c>
      <c r="L18">
        <v>395</v>
      </c>
      <c r="M18">
        <v>356</v>
      </c>
      <c r="N18">
        <v>353</v>
      </c>
    </row>
    <row r="21" spans="2:14" x14ac:dyDescent="0.25">
      <c r="B21" s="5" t="s">
        <v>224</v>
      </c>
      <c r="C21" s="19" t="s">
        <v>28</v>
      </c>
      <c r="D21" s="18"/>
      <c r="E21" s="18"/>
      <c r="F21" s="18"/>
      <c r="G21" s="19" t="s">
        <v>29</v>
      </c>
      <c r="H21" s="18"/>
      <c r="I21" s="18"/>
      <c r="J21" s="18"/>
    </row>
    <row r="22" spans="2:14" x14ac:dyDescent="0.25">
      <c r="B22" s="12">
        <v>16</v>
      </c>
      <c r="C22" s="13">
        <v>40671</v>
      </c>
      <c r="D22" s="13">
        <v>40647</v>
      </c>
      <c r="E22" s="12">
        <v>39638</v>
      </c>
      <c r="F22" s="12">
        <v>38730</v>
      </c>
      <c r="G22" s="13">
        <v>3075</v>
      </c>
      <c r="H22" s="13">
        <v>4421</v>
      </c>
      <c r="I22" s="12">
        <v>14689</v>
      </c>
      <c r="J22" s="12">
        <v>16519</v>
      </c>
    </row>
    <row r="23" spans="2:14" x14ac:dyDescent="0.25">
      <c r="B23" s="12">
        <v>32</v>
      </c>
      <c r="C23" s="13">
        <v>45291</v>
      </c>
      <c r="D23" s="13">
        <v>48555</v>
      </c>
      <c r="E23" s="12">
        <v>43681</v>
      </c>
      <c r="F23" s="12">
        <v>48487</v>
      </c>
      <c r="G23" s="13">
        <v>1082</v>
      </c>
      <c r="H23" s="13">
        <v>802</v>
      </c>
      <c r="I23" s="12">
        <v>727</v>
      </c>
      <c r="J23" s="12">
        <v>1930</v>
      </c>
    </row>
    <row r="24" spans="2:14" x14ac:dyDescent="0.25">
      <c r="B24" s="12">
        <v>64</v>
      </c>
      <c r="C24" s="13">
        <v>48737</v>
      </c>
      <c r="D24" s="13">
        <v>51431</v>
      </c>
      <c r="E24" s="12">
        <v>45021</v>
      </c>
      <c r="F24" s="12">
        <v>46538</v>
      </c>
      <c r="G24" s="13">
        <v>655</v>
      </c>
      <c r="H24" s="13">
        <v>1244</v>
      </c>
      <c r="I24" s="12">
        <v>2891</v>
      </c>
      <c r="J24" s="12">
        <v>1144</v>
      </c>
    </row>
    <row r="25" spans="2:14" x14ac:dyDescent="0.25">
      <c r="B25" s="12">
        <v>128</v>
      </c>
      <c r="C25" s="13">
        <v>50198</v>
      </c>
      <c r="D25" s="13">
        <v>51772</v>
      </c>
      <c r="E25" s="12">
        <v>46222</v>
      </c>
      <c r="F25" s="12">
        <v>40328</v>
      </c>
      <c r="G25" s="13">
        <v>773</v>
      </c>
      <c r="H25" s="13">
        <v>506</v>
      </c>
      <c r="I25" s="12">
        <v>561</v>
      </c>
      <c r="J25" s="12">
        <v>498</v>
      </c>
    </row>
    <row r="26" spans="2:14" x14ac:dyDescent="0.25">
      <c r="B26" s="12">
        <v>256</v>
      </c>
      <c r="C26" s="13">
        <v>48086</v>
      </c>
      <c r="D26" s="13">
        <v>50165</v>
      </c>
      <c r="E26" s="12">
        <v>7021</v>
      </c>
      <c r="F26" s="12">
        <v>17114</v>
      </c>
      <c r="G26" s="13">
        <v>527</v>
      </c>
      <c r="H26" s="13">
        <v>571</v>
      </c>
      <c r="I26" s="12">
        <v>448</v>
      </c>
      <c r="J26" s="12">
        <v>381</v>
      </c>
    </row>
    <row r="27" spans="2:14" x14ac:dyDescent="0.25">
      <c r="B27" s="12">
        <v>512</v>
      </c>
      <c r="C27" s="13">
        <v>25605</v>
      </c>
      <c r="D27" s="13">
        <v>34536</v>
      </c>
      <c r="E27" s="12">
        <v>7414</v>
      </c>
      <c r="F27" s="12">
        <v>4600</v>
      </c>
      <c r="G27" s="13">
        <v>402</v>
      </c>
      <c r="H27" s="13">
        <v>411</v>
      </c>
      <c r="I27" s="12">
        <v>481</v>
      </c>
      <c r="J27" s="12">
        <v>362</v>
      </c>
    </row>
    <row r="28" spans="2:14" x14ac:dyDescent="0.25">
      <c r="B28" s="12">
        <v>1024</v>
      </c>
      <c r="C28" s="13">
        <v>44359</v>
      </c>
      <c r="D28" s="13">
        <v>54213</v>
      </c>
      <c r="E28" s="12">
        <v>3489</v>
      </c>
      <c r="F28" s="12">
        <v>2256</v>
      </c>
      <c r="G28" s="13">
        <v>437</v>
      </c>
      <c r="H28" s="13">
        <v>442</v>
      </c>
      <c r="I28" s="12">
        <v>476</v>
      </c>
      <c r="J28" s="12">
        <v>332</v>
      </c>
    </row>
    <row r="29" spans="2:14" x14ac:dyDescent="0.25">
      <c r="B29" s="12">
        <v>2048</v>
      </c>
      <c r="C29" s="13">
        <v>16257</v>
      </c>
      <c r="D29" s="13">
        <v>5925</v>
      </c>
      <c r="E29" s="12">
        <v>3015</v>
      </c>
      <c r="F29" s="12">
        <v>2313</v>
      </c>
      <c r="G29" s="13">
        <v>523</v>
      </c>
      <c r="H29" s="13">
        <v>398</v>
      </c>
      <c r="I29" s="12">
        <v>407</v>
      </c>
      <c r="J29" s="12">
        <v>395</v>
      </c>
    </row>
    <row r="30" spans="2:14" x14ac:dyDescent="0.25">
      <c r="B30" s="12">
        <v>4096</v>
      </c>
      <c r="C30" s="13">
        <v>6595</v>
      </c>
      <c r="D30" s="13">
        <v>2630</v>
      </c>
      <c r="E30" s="12">
        <v>1109</v>
      </c>
      <c r="F30" s="12">
        <v>2168</v>
      </c>
      <c r="G30" s="13">
        <v>437</v>
      </c>
      <c r="H30" s="13">
        <v>431</v>
      </c>
      <c r="I30" s="12">
        <v>417</v>
      </c>
      <c r="J30" s="12">
        <v>356</v>
      </c>
    </row>
    <row r="33" spans="2:4" x14ac:dyDescent="0.25">
      <c r="B33" s="17" t="s">
        <v>225</v>
      </c>
      <c r="C33" s="18"/>
      <c r="D33" s="18"/>
    </row>
    <row r="34" spans="2:4" x14ac:dyDescent="0.25">
      <c r="B34" s="5" t="s">
        <v>224</v>
      </c>
      <c r="C34" s="6" t="s">
        <v>28</v>
      </c>
      <c r="D34" s="6" t="s">
        <v>29</v>
      </c>
    </row>
    <row r="35" spans="2:4" x14ac:dyDescent="0.25">
      <c r="B35" s="12">
        <v>16</v>
      </c>
      <c r="C35" s="14">
        <v>39921.5</v>
      </c>
      <c r="D35" s="14">
        <v>9676</v>
      </c>
    </row>
    <row r="36" spans="2:4" x14ac:dyDescent="0.25">
      <c r="B36" s="12">
        <v>32</v>
      </c>
      <c r="C36" s="14">
        <v>46503.5</v>
      </c>
      <c r="D36" s="14">
        <v>1135.25</v>
      </c>
    </row>
    <row r="37" spans="2:4" x14ac:dyDescent="0.25">
      <c r="B37" s="12">
        <v>64</v>
      </c>
      <c r="C37" s="14">
        <v>47931.75</v>
      </c>
      <c r="D37" s="14">
        <v>1483.5</v>
      </c>
    </row>
    <row r="38" spans="2:4" x14ac:dyDescent="0.25">
      <c r="B38" s="12">
        <v>128</v>
      </c>
      <c r="C38" s="14">
        <v>47130</v>
      </c>
      <c r="D38" s="14">
        <v>584.5</v>
      </c>
    </row>
    <row r="39" spans="2:4" x14ac:dyDescent="0.25">
      <c r="B39" s="12">
        <v>256</v>
      </c>
      <c r="C39" s="14">
        <v>30596.5</v>
      </c>
      <c r="D39" s="14">
        <v>481.75</v>
      </c>
    </row>
    <row r="40" spans="2:4" x14ac:dyDescent="0.25">
      <c r="B40" s="12">
        <v>512</v>
      </c>
      <c r="C40" s="14">
        <v>18038.75</v>
      </c>
      <c r="D40" s="14">
        <v>414</v>
      </c>
    </row>
    <row r="41" spans="2:4" x14ac:dyDescent="0.25">
      <c r="B41" s="12">
        <v>1024</v>
      </c>
      <c r="C41" s="14">
        <v>26079.25</v>
      </c>
      <c r="D41" s="14">
        <v>421.75</v>
      </c>
    </row>
    <row r="42" spans="2:4" x14ac:dyDescent="0.25">
      <c r="B42" s="12">
        <v>2048</v>
      </c>
      <c r="C42" s="14">
        <v>6877.5</v>
      </c>
      <c r="D42" s="14">
        <v>430.75</v>
      </c>
    </row>
    <row r="43" spans="2:4" x14ac:dyDescent="0.25">
      <c r="B43" s="12">
        <v>4096</v>
      </c>
      <c r="C43" s="14">
        <v>3125.5</v>
      </c>
      <c r="D43" s="14">
        <v>410.25</v>
      </c>
    </row>
    <row r="46" spans="2:4" x14ac:dyDescent="0.25">
      <c r="B46" s="17" t="s">
        <v>226</v>
      </c>
      <c r="C46" s="18"/>
      <c r="D46" s="18"/>
    </row>
    <row r="47" spans="2:4" x14ac:dyDescent="0.25">
      <c r="B47" s="5" t="s">
        <v>27</v>
      </c>
      <c r="C47" s="6" t="s">
        <v>28</v>
      </c>
      <c r="D47" s="6" t="s">
        <v>29</v>
      </c>
    </row>
    <row r="48" spans="2:4" x14ac:dyDescent="0.25">
      <c r="B48" s="7">
        <v>1.204119982655925</v>
      </c>
      <c r="C48" s="8">
        <v>64.79444046108874</v>
      </c>
      <c r="D48" s="8">
        <v>11.41315978158954</v>
      </c>
    </row>
    <row r="49" spans="2:4" x14ac:dyDescent="0.25">
      <c r="B49" s="7">
        <v>1.505149978319906</v>
      </c>
      <c r="C49" s="8">
        <v>76.411229386134238</v>
      </c>
      <c r="D49" s="8">
        <v>-3.6606916331145549</v>
      </c>
    </row>
    <row r="50" spans="2:4" x14ac:dyDescent="0.25">
      <c r="B50" s="7">
        <v>1.8061799739838871</v>
      </c>
      <c r="C50" s="8">
        <v>78.931994925817662</v>
      </c>
      <c r="D50" s="8">
        <v>-3.0460537201478131</v>
      </c>
    </row>
    <row r="51" spans="2:4" x14ac:dyDescent="0.25">
      <c r="B51" s="7">
        <v>2.1072099696478679</v>
      </c>
      <c r="C51" s="8">
        <v>77.51695990292869</v>
      </c>
      <c r="D51" s="8">
        <v>-4.6327284760906737</v>
      </c>
    </row>
    <row r="52" spans="2:4" x14ac:dyDescent="0.25">
      <c r="B52" s="7">
        <v>2.40823996531185</v>
      </c>
      <c r="C52" s="8">
        <v>48.336440350780428</v>
      </c>
      <c r="D52" s="8">
        <v>-4.8140753405769132</v>
      </c>
    </row>
    <row r="53" spans="2:4" x14ac:dyDescent="0.25">
      <c r="B53" s="7">
        <v>2.7092699609758308</v>
      </c>
      <c r="C53" s="8">
        <v>26.172853124482931</v>
      </c>
      <c r="D53" s="8">
        <v>-4.9336495504936293</v>
      </c>
    </row>
    <row r="54" spans="2:4" x14ac:dyDescent="0.25">
      <c r="B54" s="7">
        <v>3.0102999566398121</v>
      </c>
      <c r="C54" s="8">
        <v>40.363796812089788</v>
      </c>
      <c r="D54" s="8">
        <v>-4.9199713198389494</v>
      </c>
    </row>
    <row r="55" spans="2:4" x14ac:dyDescent="0.25">
      <c r="B55" s="7">
        <v>3.3113299523037929</v>
      </c>
      <c r="C55" s="8">
        <v>6.4739948155093483</v>
      </c>
      <c r="D55" s="8">
        <v>-4.9040869229496433</v>
      </c>
    </row>
    <row r="56" spans="2:4" x14ac:dyDescent="0.25">
      <c r="B56" s="7">
        <v>3.6123599479677742</v>
      </c>
      <c r="C56" s="8">
        <v>-0.1480337543433897</v>
      </c>
      <c r="D56" s="8">
        <v>-4.9402680491975071</v>
      </c>
    </row>
  </sheetData>
  <mergeCells count="4">
    <mergeCell ref="B33:D33"/>
    <mergeCell ref="C21:F21"/>
    <mergeCell ref="G21:J21"/>
    <mergeCell ref="B46:D46"/>
  </mergeCells>
  <pageMargins left="0.75" right="0.75" top="1" bottom="1" header="0.5" footer="0.5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sqref="A1:C1"/>
    </sheetView>
  </sheetViews>
  <sheetFormatPr defaultRowHeight="15" x14ac:dyDescent="0.25"/>
  <cols>
    <col min="1" max="1" width="16" customWidth="1"/>
    <col min="2" max="2" width="21" customWidth="1"/>
    <col min="3" max="3" width="20" customWidth="1"/>
  </cols>
  <sheetData>
    <row r="1" spans="1:3" x14ac:dyDescent="0.25">
      <c r="A1" s="20" t="s">
        <v>26</v>
      </c>
      <c r="B1" s="18"/>
      <c r="C1" s="18"/>
    </row>
    <row r="2" spans="1:3" x14ac:dyDescent="0.25">
      <c r="A2" s="16" t="s">
        <v>227</v>
      </c>
      <c r="B2" s="13" t="s">
        <v>28</v>
      </c>
      <c r="C2" s="13" t="s">
        <v>29</v>
      </c>
    </row>
    <row r="3" spans="1:3" x14ac:dyDescent="0.25">
      <c r="A3" s="16" t="s">
        <v>211</v>
      </c>
      <c r="B3" s="8">
        <v>235.6391510231395</v>
      </c>
      <c r="C3" s="8">
        <v>14.622838155079391</v>
      </c>
    </row>
    <row r="4" spans="1:3" x14ac:dyDescent="0.25">
      <c r="A4" s="16" t="s">
        <v>228</v>
      </c>
      <c r="B4" s="8">
        <v>2.3722474493608918</v>
      </c>
      <c r="C4" s="8">
        <v>1.165031673269207</v>
      </c>
    </row>
    <row r="5" spans="1:3" x14ac:dyDescent="0.25">
      <c r="A5" s="16" t="s">
        <v>229</v>
      </c>
      <c r="B5" s="8">
        <v>-0.73312766489017012</v>
      </c>
      <c r="C5" s="8">
        <v>-22.767865248659529</v>
      </c>
    </row>
  </sheetData>
  <mergeCells count="1">
    <mergeCell ref="A1:C1"/>
  </mergeCells>
  <pageMargins left="0.75" right="0.75" top="1" bottom="1" header="0.5" footer="0.5"/>
  <headerFooter>
    <oddHeader>&amp;R&amp;"Calibri"&amp;11&amp;K000000 TUNI Luottamuksellinen - Confidential (3Y)&amp;1#_x000D_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67DA93D2F6588498338D64742355231" ma:contentTypeVersion="13" ma:contentTypeDescription="Luo uusi asiakirja." ma:contentTypeScope="" ma:versionID="f013102d06b61d4a253d3122c5c75e74">
  <xsd:schema xmlns:xsd="http://www.w3.org/2001/XMLSchema" xmlns:xs="http://www.w3.org/2001/XMLSchema" xmlns:p="http://schemas.microsoft.com/office/2006/metadata/properties" xmlns:ns1="http://schemas.microsoft.com/sharepoint/v3" xmlns:ns2="c0336683-2dd7-41cc-81b9-e80359f27e17" xmlns:ns3="fa612793-f91f-4de3-98ba-0e3886ad2ae2" targetNamespace="http://schemas.microsoft.com/office/2006/metadata/properties" ma:root="true" ma:fieldsID="6c901c69e890c36f1c665fce9afbc504" ns1:_="" ns2:_="" ns3:_="">
    <xsd:import namespace="http://schemas.microsoft.com/sharepoint/v3"/>
    <xsd:import namespace="c0336683-2dd7-41cc-81b9-e80359f27e17"/>
    <xsd:import namespace="fa612793-f91f-4de3-98ba-0e3886ad2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Yhtenäisen yhteensopivuuskäytännön ominaisuudet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Yhtenäisen yhteensopivuuskäytännön käyttöliittymän toimint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36683-2dd7-41cc-81b9-e80359f2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12793-f91f-4de3-98ba-0e3886ad2a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3b5bb1-dc7a-4530-9c9d-1d949b574666}" ma:internalName="TaxCatchAll" ma:showField="CatchAllData" ma:web="fa612793-f91f-4de3-98ba-0e3886ad2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336683-2dd7-41cc-81b9-e80359f27e17">
      <Terms xmlns="http://schemas.microsoft.com/office/infopath/2007/PartnerControls"/>
    </lcf76f155ced4ddcb4097134ff3c332f>
    <TaxCatchAll xmlns="fa612793-f91f-4de3-98ba-0e3886ad2ae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F1D5055-3311-4D20-A88F-5AD93B16BE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360C84-892D-4911-980A-D7A92AE2C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336683-2dd7-41cc-81b9-e80359f27e17"/>
    <ds:schemaRef ds:uri="fa612793-f91f-4de3-98ba-0e3886ad2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1AB66E-3B5F-44B9-98B9-4B0F45730B40}">
  <ds:schemaRefs>
    <ds:schemaRef ds:uri="http://schemas.microsoft.com/office/2006/metadata/properties"/>
    <ds:schemaRef ds:uri="http://schemas.microsoft.com/office/infopath/2007/PartnerControls"/>
    <ds:schemaRef ds:uri="c0336683-2dd7-41cc-81b9-e80359f27e17"/>
    <ds:schemaRef ds:uri="fa612793-f91f-4de3-98ba-0e3886ad2ae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SCR_group_EXPORT</vt:lpstr>
      <vt:lpstr>Test DORA</vt:lpstr>
      <vt:lpstr>SCR_plate_STATISTICS</vt:lpstr>
      <vt:lpstr>SCR_group-1_STATISTICS</vt:lpstr>
      <vt:lpstr>SCR_ic50_RESULTS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Henna-Maarit Kyröläinen (TAU)</dc:creator>
  <cp:lastModifiedBy>Henna-Maarit Kyröläinen (TAU)</cp:lastModifiedBy>
  <dcterms:created xsi:type="dcterms:W3CDTF">2025-06-18T09:42:14Z</dcterms:created>
  <dcterms:modified xsi:type="dcterms:W3CDTF">2025-08-05T13:57:01Z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0x010100167DA93D2F6588498338D64742355231</vt:lpwstr>
  </property>
  <property fmtid="{D5CDD505-2E9C-101B-9397-08002B2CF9AE}" pid="3" name="MediaServiceImageTags">
    <vt:lpwstr/>
  </property>
</Properties>
</file>