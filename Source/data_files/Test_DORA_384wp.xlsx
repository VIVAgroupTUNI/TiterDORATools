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sheky\Downloads\TiterDORATools-main\TiterDORATools-main\Source\data_files\"/>
    </mc:Choice>
  </mc:AlternateContent>
  <xr:revisionPtr revIDLastSave="0" documentId="13_ncr:1_{06E31FFD-D920-4856-9479-66E0233331AC}" xr6:coauthVersionLast="47" xr6:coauthVersionMax="47" xr10:uidLastSave="{00000000-0000-0000-0000-000000000000}"/>
  <bookViews>
    <workbookView xWindow="2100" yWindow="2190" windowWidth="15975" windowHeight="15345" xr2:uid="{00000000-000D-0000-FFFF-FFFF00000000}"/>
  </bookViews>
  <sheets>
    <sheet name="Info" sheetId="1" r:id="rId1"/>
    <sheet name="SCR_group_EXPORT" sheetId="2" r:id="rId2"/>
    <sheet name="Test DORA" sheetId="3" r:id="rId3"/>
    <sheet name="SCR_plate_STATISTICS" sheetId="4" r:id="rId4"/>
    <sheet name="SCR_group-1_STATISTICS" sheetId="5" r:id="rId5"/>
    <sheet name="SCR_group-2_STATISTICS" sheetId="6" r:id="rId6"/>
    <sheet name="SCR_ic50_RESULTS" sheetId="7" r:id="rId7"/>
    <sheet name="SCR_mw_TEST" sheetId="8" r:id="rId8"/>
  </sheets>
  <calcPr calcId="0"/>
</workbook>
</file>

<file path=xl/sharedStrings.xml><?xml version="1.0" encoding="utf-8"?>
<sst xmlns="http://schemas.openxmlformats.org/spreadsheetml/2006/main" count="504" uniqueCount="255">
  <si>
    <t>Test DORA 384wp file</t>
  </si>
  <si>
    <t>Contains one 96-well plate of raw scripted data in 384-well plate format from neutralization assay (IC50) to quantify presence of neutalizing antibodies from two different samples.</t>
  </si>
  <si>
    <t>Data parameters:</t>
  </si>
  <si>
    <t>- DORA assay: IC50</t>
  </si>
  <si>
    <t>- Cells per well: 16 000</t>
  </si>
  <si>
    <t>- Initial dilution: 16</t>
  </si>
  <si>
    <t>- Dilution factor: 2 (i.e. 2-fold dilution series)</t>
  </si>
  <si>
    <t>- Number of parallels per sample: 4</t>
  </si>
  <si>
    <t>Script run:</t>
  </si>
  <si>
    <t>1)</t>
  </si>
  <si>
    <t>Normalization and data arranging:</t>
  </si>
  <si>
    <t>- Open Windows PowerShell</t>
  </si>
  <si>
    <t>- Run script by typing "python DORAScript_384.py"</t>
  </si>
  <si>
    <t>- Select data file: Test_DORA_384wp.xlsx</t>
  </si>
  <si>
    <t>- Select data sheet: Test DORA</t>
  </si>
  <si>
    <t>- Select analysis type: IC50</t>
  </si>
  <si>
    <t>- Write group label: 1</t>
  </si>
  <si>
    <t>- Write initial dilution: 16</t>
  </si>
  <si>
    <t>- Write dilution factor: 2</t>
  </si>
  <si>
    <t>- Write number of sample: 1</t>
  </si>
  <si>
    <t>- Write number of parallels: 4</t>
  </si>
  <si>
    <t>- Write label for sample 1: sample 1</t>
  </si>
  <si>
    <t>- Write yes/no for adding new group: yes</t>
  </si>
  <si>
    <t>- Write label for sample 1: sample 2</t>
  </si>
  <si>
    <t>- Write yes/no for adding new group: no</t>
  </si>
  <si>
    <t xml:space="preserve">2) </t>
  </si>
  <si>
    <t>4PL curve fiting:</t>
  </si>
  <si>
    <t>- Run script by typing "python 4PLScript.py"</t>
  </si>
  <si>
    <t>- Select data sheet: SCR_group_EXPORT</t>
  </si>
  <si>
    <t>- Select groups for analysis: SELECT ALL</t>
  </si>
  <si>
    <t>3)</t>
  </si>
  <si>
    <t>- Run script by typing "python STATScript.py"</t>
  </si>
  <si>
    <t>Results are found from the this scripted data file and from the results_file directory.</t>
  </si>
  <si>
    <t>Group 1 (IC50)</t>
  </si>
  <si>
    <t>Log dil</t>
  </si>
  <si>
    <t>sample 1</t>
  </si>
  <si>
    <t>Group 2 (IC50)</t>
  </si>
  <si>
    <t>sample 2</t>
  </si>
  <si>
    <t xml:space="preserve">Plate information </t>
  </si>
  <si>
    <t>Plate</t>
  </si>
  <si>
    <t>Repeat</t>
  </si>
  <si>
    <t>Barcode</t>
  </si>
  <si>
    <t>Measured height</t>
  </si>
  <si>
    <t>Chamber temperature at start</t>
  </si>
  <si>
    <t>Chamber temperature at end</t>
  </si>
  <si>
    <t>Humidity at start</t>
  </si>
  <si>
    <t>Humidity at end</t>
  </si>
  <si>
    <t>Ambient temperature at start</t>
  </si>
  <si>
    <t>Ambient temperature at end</t>
  </si>
  <si>
    <t>Group</t>
  </si>
  <si>
    <t>Label</t>
  </si>
  <si>
    <t>ScanX</t>
  </si>
  <si>
    <t>ScanY</t>
  </si>
  <si>
    <t>Measinfo</t>
  </si>
  <si>
    <t>Kinetics</t>
  </si>
  <si>
    <t>Measurement date</t>
  </si>
  <si>
    <t>14.35</t>
  </si>
  <si>
    <t>22.15</t>
  </si>
  <si>
    <t>22.17</t>
  </si>
  <si>
    <t>52.9</t>
  </si>
  <si>
    <t>22.83</t>
  </si>
  <si>
    <t>22.86</t>
  </si>
  <si>
    <t>Alamar Blue</t>
  </si>
  <si>
    <t>De=1st Ex=Top Em=Top Wdw=N/A</t>
  </si>
  <si>
    <t>6/18/2025 12:29:36 PM</t>
  </si>
  <si>
    <t>Results for Alamar Blue - channel 1 (RFU)</t>
  </si>
  <si>
    <t>A</t>
  </si>
  <si>
    <t>B</t>
  </si>
  <si>
    <t>C</t>
  </si>
  <si>
    <t>D</t>
  </si>
  <si>
    <t>E</t>
  </si>
  <si>
    <t>F</t>
  </si>
  <si>
    <t>G</t>
  </si>
  <si>
    <t>H</t>
  </si>
  <si>
    <t>I</t>
  </si>
  <si>
    <t>J</t>
  </si>
  <si>
    <t>K</t>
  </si>
  <si>
    <t>L</t>
  </si>
  <si>
    <t>M</t>
  </si>
  <si>
    <t>N</t>
  </si>
  <si>
    <t>O</t>
  </si>
  <si>
    <t>P</t>
  </si>
  <si>
    <t xml:space="preserve">Basic assay information </t>
  </si>
  <si>
    <t xml:space="preserve">Assay ID: </t>
  </si>
  <si>
    <t xml:space="preserve">Assay Started: </t>
  </si>
  <si>
    <t>6/18/2025 12:28:50 PM</t>
  </si>
  <si>
    <t xml:space="preserve">Assay Finished: </t>
  </si>
  <si>
    <t>6/18/2025 12:29:47 PM</t>
  </si>
  <si>
    <t xml:space="preserve">Assay Exported: </t>
  </si>
  <si>
    <t>6/18/2025 12:30:49 PM</t>
  </si>
  <si>
    <t xml:space="preserve">Protocol ID: </t>
  </si>
  <si>
    <t xml:space="preserve">Protocol Name: </t>
  </si>
  <si>
    <t>Alamar Blue 384</t>
  </si>
  <si>
    <t xml:space="preserve">Serial#: </t>
  </si>
  <si>
    <t>Protocol information</t>
  </si>
  <si>
    <t>Protocol:</t>
  </si>
  <si>
    <t>Protocol name</t>
  </si>
  <si>
    <t>Number of assay repeats</t>
  </si>
  <si>
    <t>Start assay repeat each</t>
  </si>
  <si>
    <t>N/A</t>
  </si>
  <si>
    <t>Number of plate repeats</t>
  </si>
  <si>
    <t>Start plate repeat each</t>
  </si>
  <si>
    <t>Is label meas. height used</t>
  </si>
  <si>
    <t>Yes</t>
  </si>
  <si>
    <t>Height of measurement</t>
  </si>
  <si>
    <t>Defined in label</t>
  </si>
  <si>
    <t>Is gripper height used</t>
  </si>
  <si>
    <t>No</t>
  </si>
  <si>
    <t>Mode of measurement</t>
  </si>
  <si>
    <t>By Rows, bi-directional</t>
  </si>
  <si>
    <t>Rotated plate</t>
  </si>
  <si>
    <t>Soft move</t>
  </si>
  <si>
    <t>Protocol notes</t>
  </si>
  <si>
    <t>Plate type:</t>
  </si>
  <si>
    <t>Name of the plate type</t>
  </si>
  <si>
    <t>384 General</t>
  </si>
  <si>
    <t>Number of rows</t>
  </si>
  <si>
    <t>Number of columns</t>
  </si>
  <si>
    <t>Number of the wells in the plate</t>
  </si>
  <si>
    <t>Height of the plate</t>
  </si>
  <si>
    <t>14.35 mm</t>
  </si>
  <si>
    <t>Coordinates of corners:</t>
  </si>
  <si>
    <t>384 General + Copy of Alamar Blue</t>
  </si>
  <si>
    <t>11.88 mm x------------------------------------------------------ x 115.67 mm</t>
  </si>
  <si>
    <t>8.99 mm                                                            9.12 mm</t>
  </si>
  <si>
    <t>12 mm x--------------------------------------------------------- x 115.24 mm</t>
  </si>
  <si>
    <t>76.51 mm                                                           76.6 mm</t>
  </si>
  <si>
    <t>Platemap:</t>
  </si>
  <si>
    <t xml:space="preserve">- </t>
  </si>
  <si>
    <t xml:space="preserve"> - - Undefined</t>
  </si>
  <si>
    <t>Calculations:</t>
  </si>
  <si>
    <t>No calculations.</t>
  </si>
  <si>
    <t>Auto export parameters:</t>
  </si>
  <si>
    <t>Export format</t>
  </si>
  <si>
    <t>Plate2</t>
  </si>
  <si>
    <t>Include basic assay information</t>
  </si>
  <si>
    <t>Place assay information at</t>
  </si>
  <si>
    <t>End of file</t>
  </si>
  <si>
    <t>Include basic plate information</t>
  </si>
  <si>
    <t>Place plate information at</t>
  </si>
  <si>
    <t>Beginning of plate</t>
  </si>
  <si>
    <t>Include protocol information</t>
  </si>
  <si>
    <t>Protocol info level</t>
  </si>
  <si>
    <t>Large</t>
  </si>
  <si>
    <t>Include error and warning information</t>
  </si>
  <si>
    <t>Include background information</t>
  </si>
  <si>
    <t>Add plate number to the file name</t>
  </si>
  <si>
    <t>Each plate to separate file</t>
  </si>
  <si>
    <t>Field separator to use</t>
  </si>
  <si>
    <t>System</t>
  </si>
  <si>
    <t>File name format</t>
  </si>
  <si>
    <t>&lt;DefaultDataFolder&gt;\&lt;Date&gt;\&lt;ProtocolName&gt;_&lt;AssayID&gt;.csv</t>
  </si>
  <si>
    <t>Operations:</t>
  </si>
  <si>
    <t>Plate 1</t>
  </si>
  <si>
    <t xml:space="preserve">  Group 1</t>
  </si>
  <si>
    <t xml:space="preserve">    Measurement</t>
  </si>
  <si>
    <t xml:space="preserve">      Label</t>
  </si>
  <si>
    <t>Labels:</t>
  </si>
  <si>
    <t>Copy of Alamar Blue</t>
  </si>
  <si>
    <t>Top mirror</t>
  </si>
  <si>
    <t>Bottom mirror</t>
  </si>
  <si>
    <t>Exc. filter</t>
  </si>
  <si>
    <t>Monochromator cutoff 360</t>
  </si>
  <si>
    <t>Using of excitation filter</t>
  </si>
  <si>
    <t>Top</t>
  </si>
  <si>
    <t>2nd exc. filter</t>
  </si>
  <si>
    <t>Using of 2nd excitation filter</t>
  </si>
  <si>
    <t>Excitation wavelength</t>
  </si>
  <si>
    <t>560 nm</t>
  </si>
  <si>
    <t>Ems. filter</t>
  </si>
  <si>
    <t>2nd ems. filter</t>
  </si>
  <si>
    <t>Emission wavelength</t>
  </si>
  <si>
    <t>590 nm</t>
  </si>
  <si>
    <t>Measurement height</t>
  </si>
  <si>
    <t>6.1 mm</t>
  </si>
  <si>
    <t>Number of flashes</t>
  </si>
  <si>
    <t>Number of flashes integrated</t>
  </si>
  <si>
    <t>PMT gain</t>
  </si>
  <si>
    <t>Excitation light</t>
  </si>
  <si>
    <t>Reference excitation light</t>
  </si>
  <si>
    <t>Emission light</t>
  </si>
  <si>
    <t>Reference AD gain</t>
  </si>
  <si>
    <t>Reference signal</t>
  </si>
  <si>
    <t>2nd excitation light</t>
  </si>
  <si>
    <t>Reference 2nd excitation light</t>
  </si>
  <si>
    <t>2nd reference AD gain</t>
  </si>
  <si>
    <t>2nd reference signal</t>
  </si>
  <si>
    <t>Last edited</t>
  </si>
  <si>
    <t>Last edited by</t>
  </si>
  <si>
    <t>EnVision</t>
  </si>
  <si>
    <t>Factory preset</t>
  </si>
  <si>
    <t>Filters:</t>
  </si>
  <si>
    <t>Filter type</t>
  </si>
  <si>
    <t>Excitation</t>
  </si>
  <si>
    <t>Description</t>
  </si>
  <si>
    <t>X360co Longpass=360nm, Tmin=90%</t>
  </si>
  <si>
    <t>Used with</t>
  </si>
  <si>
    <t>9/23/2010 7:53:56 PM</t>
  </si>
  <si>
    <t>Installation</t>
  </si>
  <si>
    <t>Monochromator cutoff 585</t>
  </si>
  <si>
    <t>X585co Longpass=585nm, Tmin=75%</t>
  </si>
  <si>
    <t>Instrument:</t>
  </si>
  <si>
    <t>Serial number</t>
  </si>
  <si>
    <t>Nickname</t>
  </si>
  <si>
    <t>Notifications for plate 1, repeat 1:</t>
  </si>
  <si>
    <t xml:space="preserve">WARNING: The reference signal is below the warning level. To fix the problem, try the following corrections: </t>
  </si>
  <si>
    <t xml:space="preserve">1. Set the excitation light % as high as possible. </t>
  </si>
  <si>
    <t xml:space="preserve">2. Increase the number of flashes per A/D conversion. </t>
  </si>
  <si>
    <t>3. Use a filter passing more light.</t>
  </si>
  <si>
    <t>Exported with EnVision Workstation version 1.12</t>
  </si>
  <si>
    <t>384-wellplate</t>
  </si>
  <si>
    <t>Avg</t>
  </si>
  <si>
    <t>Avg50</t>
  </si>
  <si>
    <t>StDev</t>
  </si>
  <si>
    <t>100%</t>
  </si>
  <si>
    <t>0%</t>
  </si>
  <si>
    <t>96-subplate (1)</t>
  </si>
  <si>
    <t>None</t>
  </si>
  <si>
    <t>96-subplate (2)</t>
  </si>
  <si>
    <t>96-subplate (3)</t>
  </si>
  <si>
    <t>96-subplate (4)</t>
  </si>
  <si>
    <t>Group 1</t>
  </si>
  <si>
    <t>IC50</t>
  </si>
  <si>
    <t>Sample 1</t>
  </si>
  <si>
    <t>01</t>
  </si>
  <si>
    <t>02</t>
  </si>
  <si>
    <t>03</t>
  </si>
  <si>
    <t>04</t>
  </si>
  <si>
    <t>05</t>
  </si>
  <si>
    <t>06</t>
  </si>
  <si>
    <t>07</t>
  </si>
  <si>
    <t>08</t>
  </si>
  <si>
    <t>09</t>
  </si>
  <si>
    <t>10</t>
  </si>
  <si>
    <t>11</t>
  </si>
  <si>
    <t>12</t>
  </si>
  <si>
    <t>Dil</t>
  </si>
  <si>
    <t>Averages</t>
  </si>
  <si>
    <t>Normalized values</t>
  </si>
  <si>
    <t>Group 2</t>
  </si>
  <si>
    <t>Sample</t>
  </si>
  <si>
    <t>LogIC50</t>
  </si>
  <si>
    <t>Hill slope</t>
  </si>
  <si>
    <t>MANN-WHITNEY RESULTS</t>
  </si>
  <si>
    <t>Comparison</t>
  </si>
  <si>
    <t>P-value</t>
  </si>
  <si>
    <t>Significance</t>
  </si>
  <si>
    <t>Group 1 (IC50) vs Group 2 (IC50)</t>
  </si>
  <si>
    <t>ns</t>
  </si>
  <si>
    <t>- Select data sheet: SCR_ic50_RESULTS</t>
  </si>
  <si>
    <t>- Select statistical test: Mann-Whitney</t>
  </si>
  <si>
    <t>- Two groups: Group 1 and Group 2</t>
  </si>
  <si>
    <t>- Two samples: sample 1 and sample 2</t>
  </si>
  <si>
    <t>Please note that this data file is intended for demonstration purposes on how the scripts function. It does not represent results from an actual experiment and should not be interpreted as such.</t>
  </si>
  <si>
    <t>Statistical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</si>
</sst>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7"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name val="Aptos Narrow"/>
      <family val="2"/>
    </font>
    <font>
      <i/>
      <sz val="11"/>
      <name val="Aptos Narrow"/>
      <family val="2"/>
    </font>
    <font>
      <b/>
      <sz val="11"/>
      <name val="Aptos Narrow"/>
      <family val="2"/>
    </font>
    <font>
      <b/>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9" fontId="0" fillId="0" borderId="0" xfId="0" applyNumberFormat="1"/>
    <xf numFmtId="22" fontId="0" fillId="0" borderId="0" xfId="0" applyNumberFormat="1"/>
    <xf numFmtId="0" fontId="1" fillId="0" borderId="0" xfId="0" applyFont="1"/>
    <xf numFmtId="0" fontId="0" fillId="0" borderId="0" xfId="0" quotePrefix="1"/>
    <xf numFmtId="0" fontId="0" fillId="0" borderId="0" xfId="0" applyAlignment="1">
      <alignment horizontal="right"/>
    </xf>
    <xf numFmtId="0" fontId="2" fillId="0" borderId="0" xfId="0" applyFont="1"/>
    <xf numFmtId="0" fontId="3" fillId="0" borderId="0" xfId="0" applyFont="1"/>
    <xf numFmtId="0" fontId="3" fillId="0" borderId="0" xfId="0" applyFont="1" applyAlignment="1">
      <alignment horizontal="right"/>
    </xf>
    <xf numFmtId="164" fontId="0" fillId="0" borderId="0" xfId="0" applyNumberFormat="1" applyAlignment="1">
      <alignment horizontal="left"/>
    </xf>
    <xf numFmtId="164" fontId="0" fillId="0" borderId="0" xfId="0" applyNumberFormat="1" applyAlignment="1">
      <alignment horizontal="right"/>
    </xf>
    <xf numFmtId="0" fontId="4" fillId="0" borderId="0" xfId="0" applyFont="1" applyAlignment="1">
      <alignment horizontal="center"/>
    </xf>
    <xf numFmtId="0" fontId="4" fillId="0" borderId="0" xfId="0" applyFont="1" applyAlignment="1">
      <alignment horizontal="right"/>
    </xf>
    <xf numFmtId="165" fontId="0" fillId="0" borderId="0" xfId="0" applyNumberFormat="1" applyAlignment="1">
      <alignment horizontal="center"/>
    </xf>
    <xf numFmtId="0" fontId="0" fillId="0" borderId="0" xfId="0" applyAlignment="1">
      <alignment horizontal="left"/>
    </xf>
    <xf numFmtId="166" fontId="0" fillId="0" borderId="0" xfId="0" applyNumberFormat="1" applyAlignment="1">
      <alignment horizontal="right"/>
    </xf>
    <xf numFmtId="0" fontId="5" fillId="0" borderId="0" xfId="0" applyFont="1"/>
    <xf numFmtId="0" fontId="0" fillId="0" borderId="0" xfId="0" quotePrefix="1" applyAlignment="1">
      <alignment horizontal="right"/>
    </xf>
    <xf numFmtId="0" fontId="6" fillId="0" borderId="0" xfId="0" applyFont="1"/>
    <xf numFmtId="0" fontId="6" fillId="0" borderId="0" xfId="0" applyFont="1" applyAlignment="1">
      <alignment horizontal="left"/>
    </xf>
    <xf numFmtId="0" fontId="6" fillId="0" borderId="0" xfId="0" applyFont="1" applyAlignment="1">
      <alignment horizontal="right"/>
    </xf>
    <xf numFmtId="0" fontId="3" fillId="0" borderId="0" xfId="0" applyFont="1"/>
    <xf numFmtId="0" fontId="0" fillId="0" borderId="0" xfId="0"/>
    <xf numFmtId="0" fontId="3" fillId="0" borderId="0" xfId="0" applyFont="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Normalized values -chart</a:t>
            </a:r>
          </a:p>
        </c:rich>
      </c:tx>
      <c:overlay val="1"/>
    </c:title>
    <c:autoTitleDeleted val="0"/>
    <c:plotArea>
      <c:layout/>
      <c:lineChart>
        <c:grouping val="standard"/>
        <c:varyColors val="1"/>
        <c:ser>
          <c:idx val="0"/>
          <c:order val="0"/>
          <c:tx>
            <c:strRef>
              <c:f>'SCR_group-1_STATISTICS'!$C$40</c:f>
              <c:strCache>
                <c:ptCount val="1"/>
                <c:pt idx="0">
                  <c:v>sample 1</c:v>
                </c:pt>
              </c:strCache>
            </c:strRef>
          </c:tx>
          <c:spPr>
            <a:ln w="6000">
              <a:solidFill>
                <a:srgbClr val="B22222"/>
              </a:solidFill>
              <a:prstDash val="solid"/>
            </a:ln>
          </c:spPr>
          <c:marker>
            <c:symbol val="circle"/>
            <c:size val="5"/>
            <c:spPr>
              <a:solidFill>
                <a:srgbClr val="B22222"/>
              </a:solidFill>
              <a:ln w="0">
                <a:solidFill>
                  <a:srgbClr val="B22222"/>
                </a:solidFill>
                <a:prstDash val="solid"/>
              </a:ln>
            </c:spPr>
          </c:marker>
          <c:cat>
            <c:numRef>
              <c:f>'SCR_group-1_STATISTICS'!$B$41:$B$49</c:f>
              <c:numCache>
                <c:formatCode>0.0##</c:formatCode>
                <c:ptCount val="9"/>
                <c:pt idx="0">
                  <c:v>1.204119982655925</c:v>
                </c:pt>
                <c:pt idx="1">
                  <c:v>1.505149978319906</c:v>
                </c:pt>
                <c:pt idx="2">
                  <c:v>1.8061799739838871</c:v>
                </c:pt>
                <c:pt idx="3">
                  <c:v>2.1072099696478679</c:v>
                </c:pt>
                <c:pt idx="4">
                  <c:v>2.40823996531185</c:v>
                </c:pt>
                <c:pt idx="5">
                  <c:v>2.7092699609758308</c:v>
                </c:pt>
                <c:pt idx="6">
                  <c:v>3.0102999566398121</c:v>
                </c:pt>
                <c:pt idx="7">
                  <c:v>3.3113299523037929</c:v>
                </c:pt>
                <c:pt idx="8">
                  <c:v>3.6123599479677742</c:v>
                </c:pt>
              </c:numCache>
            </c:numRef>
          </c:cat>
          <c:val>
            <c:numRef>
              <c:f>'SCR_group-1_STATISTICS'!$C$41:$C$49</c:f>
              <c:numCache>
                <c:formatCode>0.0##</c:formatCode>
                <c:ptCount val="9"/>
                <c:pt idx="0">
                  <c:v>62.689442619002953</c:v>
                </c:pt>
                <c:pt idx="1">
                  <c:v>74.882311124695789</c:v>
                </c:pt>
                <c:pt idx="2">
                  <c:v>77.528082082346316</c:v>
                </c:pt>
                <c:pt idx="3">
                  <c:v>76.042875105069001</c:v>
                </c:pt>
                <c:pt idx="4">
                  <c:v>45.415286007701582</c:v>
                </c:pt>
                <c:pt idx="5">
                  <c:v>22.152600733109651</c:v>
                </c:pt>
                <c:pt idx="6">
                  <c:v>37.047277004763131</c:v>
                </c:pt>
                <c:pt idx="7">
                  <c:v>1.476870923148528</c:v>
                </c:pt>
                <c:pt idx="8">
                  <c:v>-5.4735457637793816</c:v>
                </c:pt>
              </c:numCache>
            </c:numRef>
          </c:val>
          <c:smooth val="0"/>
          <c:extLst>
            <c:ext xmlns:c16="http://schemas.microsoft.com/office/drawing/2014/chart" uri="{C3380CC4-5D6E-409C-BE32-E72D297353CC}">
              <c16:uniqueId val="{00000000-9477-4267-9DB7-C9A0C7053F9E}"/>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title>
          <c:tx>
            <c:rich>
              <a:bodyPr/>
              <a:lstStyle/>
              <a:p>
                <a:pPr>
                  <a:defRPr/>
                </a:pPr>
                <a:r>
                  <a:rPr lang="en-GB"/>
                  <a:t>Log dilution</a:t>
                </a:r>
              </a:p>
            </c:rich>
          </c:tx>
          <c:overlay val="1"/>
        </c:title>
        <c:numFmt formatCode="0.0#" sourceLinked="0"/>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Inhibition (%)</a:t>
                </a:r>
              </a:p>
            </c:rich>
          </c:tx>
          <c:overlay val="1"/>
        </c:title>
        <c:numFmt formatCode="0.0#" sourceLinked="0"/>
        <c:majorTickMark val="none"/>
        <c:minorTickMark val="none"/>
        <c:tickLblPos val="nextTo"/>
        <c:crossAx val="10"/>
        <c:crosses val="autoZero"/>
        <c:crossBetween val="between"/>
        <c:majorUnit val="8.3001627846125707"/>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Normalized values -chart</a:t>
            </a:r>
          </a:p>
        </c:rich>
      </c:tx>
      <c:overlay val="1"/>
    </c:title>
    <c:autoTitleDeleted val="0"/>
    <c:plotArea>
      <c:layout/>
      <c:lineChart>
        <c:grouping val="standard"/>
        <c:varyColors val="1"/>
        <c:ser>
          <c:idx val="0"/>
          <c:order val="0"/>
          <c:tx>
            <c:strRef>
              <c:f>'SCR_group-2_STATISTICS'!$C$40</c:f>
              <c:strCache>
                <c:ptCount val="1"/>
                <c:pt idx="0">
                  <c:v>sample 2</c:v>
                </c:pt>
              </c:strCache>
            </c:strRef>
          </c:tx>
          <c:spPr>
            <a:ln w="6000">
              <a:solidFill>
                <a:srgbClr val="B22222"/>
              </a:solidFill>
              <a:prstDash val="solid"/>
            </a:ln>
          </c:spPr>
          <c:marker>
            <c:symbol val="circle"/>
            <c:size val="5"/>
            <c:spPr>
              <a:solidFill>
                <a:srgbClr val="B22222"/>
              </a:solidFill>
              <a:ln w="0">
                <a:solidFill>
                  <a:srgbClr val="B22222"/>
                </a:solidFill>
                <a:prstDash val="solid"/>
              </a:ln>
            </c:spPr>
          </c:marker>
          <c:cat>
            <c:numRef>
              <c:f>'SCR_group-2_STATISTICS'!$B$41:$B$49</c:f>
              <c:numCache>
                <c:formatCode>0.0##</c:formatCode>
                <c:ptCount val="9"/>
                <c:pt idx="0">
                  <c:v>1.204119982655925</c:v>
                </c:pt>
                <c:pt idx="1">
                  <c:v>1.505149978319906</c:v>
                </c:pt>
                <c:pt idx="2">
                  <c:v>1.8061799739838871</c:v>
                </c:pt>
                <c:pt idx="3">
                  <c:v>2.1072099696478679</c:v>
                </c:pt>
                <c:pt idx="4">
                  <c:v>2.40823996531185</c:v>
                </c:pt>
                <c:pt idx="5">
                  <c:v>2.7092699609758308</c:v>
                </c:pt>
                <c:pt idx="6">
                  <c:v>3.0102999566398121</c:v>
                </c:pt>
                <c:pt idx="7">
                  <c:v>3.3113299523037929</c:v>
                </c:pt>
                <c:pt idx="8">
                  <c:v>3.6123599479677742</c:v>
                </c:pt>
              </c:numCache>
            </c:numRef>
          </c:cat>
          <c:val>
            <c:numRef>
              <c:f>'SCR_group-2_STATISTICS'!$C$41:$C$49</c:f>
              <c:numCache>
                <c:formatCode>0.0##</c:formatCode>
                <c:ptCount val="9"/>
                <c:pt idx="0">
                  <c:v>15.736552831210201</c:v>
                </c:pt>
                <c:pt idx="1">
                  <c:v>1.3427682429201311</c:v>
                </c:pt>
                <c:pt idx="2">
                  <c:v>1.9296763578833389</c:v>
                </c:pt>
                <c:pt idx="3">
                  <c:v>0.41458548824393132</c:v>
                </c:pt>
                <c:pt idx="4">
                  <c:v>0.24142020809326489</c:v>
                </c:pt>
                <c:pt idx="5">
                  <c:v>0.12724066813990581</c:v>
                </c:pt>
                <c:pt idx="6">
                  <c:v>0.1403017963264524</c:v>
                </c:pt>
                <c:pt idx="7">
                  <c:v>0.1554695580914742</c:v>
                </c:pt>
                <c:pt idx="8">
                  <c:v>0.12092076740448</c:v>
                </c:pt>
              </c:numCache>
            </c:numRef>
          </c:val>
          <c:smooth val="0"/>
          <c:extLst>
            <c:ext xmlns:c16="http://schemas.microsoft.com/office/drawing/2014/chart" uri="{C3380CC4-5D6E-409C-BE32-E72D297353CC}">
              <c16:uniqueId val="{00000000-6F56-4A50-AB89-390C060CBC31}"/>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title>
          <c:tx>
            <c:rich>
              <a:bodyPr/>
              <a:lstStyle/>
              <a:p>
                <a:pPr>
                  <a:defRPr/>
                </a:pPr>
                <a:r>
                  <a:rPr lang="en-GB"/>
                  <a:t>Log dilution</a:t>
                </a:r>
              </a:p>
            </c:rich>
          </c:tx>
          <c:overlay val="1"/>
        </c:title>
        <c:numFmt formatCode="0.0#" sourceLinked="0"/>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Inhibition (%)</a:t>
                </a:r>
              </a:p>
            </c:rich>
          </c:tx>
          <c:overlay val="1"/>
        </c:title>
        <c:numFmt formatCode="0.0#" sourceLinked="0"/>
        <c:majorTickMark val="none"/>
        <c:minorTickMark val="none"/>
        <c:tickLblPos val="nextTo"/>
        <c:crossAx val="10"/>
        <c:crosses val="autoZero"/>
        <c:crossBetween val="between"/>
        <c:majorUnit val="1.561563206380572"/>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xdr:col>
      <xdr:colOff>0</xdr:colOff>
      <xdr:row>25</xdr:row>
      <xdr:rowOff>0</xdr:rowOff>
    </xdr:from>
    <xdr:ext cx="7200000" cy="46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25</xdr:row>
      <xdr:rowOff>0</xdr:rowOff>
    </xdr:from>
    <xdr:ext cx="7200000" cy="46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54"/>
  <sheetViews>
    <sheetView tabSelected="1" workbookViewId="0">
      <selection activeCell="I36" sqref="I36"/>
    </sheetView>
  </sheetViews>
  <sheetFormatPr defaultRowHeight="15" x14ac:dyDescent="0.25"/>
  <sheetData>
    <row r="2" spans="2:2" ht="15.75" customHeight="1" x14ac:dyDescent="0.25">
      <c r="B2" s="6" t="s">
        <v>0</v>
      </c>
    </row>
    <row r="4" spans="2:2" x14ac:dyDescent="0.25">
      <c r="B4" t="s">
        <v>1</v>
      </c>
    </row>
    <row r="5" spans="2:2" x14ac:dyDescent="0.25">
      <c r="B5" t="s">
        <v>253</v>
      </c>
    </row>
    <row r="7" spans="2:2" x14ac:dyDescent="0.25">
      <c r="B7" s="3" t="s">
        <v>2</v>
      </c>
    </row>
    <row r="8" spans="2:2" x14ac:dyDescent="0.25">
      <c r="B8" s="4" t="s">
        <v>3</v>
      </c>
    </row>
    <row r="9" spans="2:2" x14ac:dyDescent="0.25">
      <c r="B9" s="4" t="s">
        <v>4</v>
      </c>
    </row>
    <row r="10" spans="2:2" x14ac:dyDescent="0.25">
      <c r="B10" s="4" t="s">
        <v>5</v>
      </c>
    </row>
    <row r="11" spans="2:2" x14ac:dyDescent="0.25">
      <c r="B11" s="4" t="s">
        <v>6</v>
      </c>
    </row>
    <row r="12" spans="2:2" x14ac:dyDescent="0.25">
      <c r="B12" s="4" t="s">
        <v>251</v>
      </c>
    </row>
    <row r="13" spans="2:2" x14ac:dyDescent="0.25">
      <c r="B13" s="4" t="s">
        <v>252</v>
      </c>
    </row>
    <row r="14" spans="2:2" x14ac:dyDescent="0.25">
      <c r="B14" s="4" t="s">
        <v>7</v>
      </c>
    </row>
    <row r="16" spans="2:2" ht="15.75" customHeight="1" x14ac:dyDescent="0.25">
      <c r="B16" s="6" t="s">
        <v>8</v>
      </c>
    </row>
    <row r="18" spans="2:3" x14ac:dyDescent="0.25">
      <c r="B18" s="5" t="s">
        <v>9</v>
      </c>
      <c r="C18" s="3" t="s">
        <v>10</v>
      </c>
    </row>
    <row r="19" spans="2:3" x14ac:dyDescent="0.25">
      <c r="C19" s="4" t="s">
        <v>11</v>
      </c>
    </row>
    <row r="20" spans="2:3" x14ac:dyDescent="0.25">
      <c r="C20" s="4" t="s">
        <v>12</v>
      </c>
    </row>
    <row r="21" spans="2:3" x14ac:dyDescent="0.25">
      <c r="C21" s="4" t="s">
        <v>13</v>
      </c>
    </row>
    <row r="22" spans="2:3" x14ac:dyDescent="0.25">
      <c r="C22" s="4" t="s">
        <v>14</v>
      </c>
    </row>
    <row r="23" spans="2:3" x14ac:dyDescent="0.25">
      <c r="C23" s="4" t="s">
        <v>15</v>
      </c>
    </row>
    <row r="24" spans="2:3" x14ac:dyDescent="0.25">
      <c r="C24" s="4" t="s">
        <v>16</v>
      </c>
    </row>
    <row r="25" spans="2:3" x14ac:dyDescent="0.25">
      <c r="C25" s="4" t="s">
        <v>17</v>
      </c>
    </row>
    <row r="26" spans="2:3" x14ac:dyDescent="0.25">
      <c r="C26" s="4" t="s">
        <v>18</v>
      </c>
    </row>
    <row r="27" spans="2:3" x14ac:dyDescent="0.25">
      <c r="C27" s="4" t="s">
        <v>19</v>
      </c>
    </row>
    <row r="28" spans="2:3" x14ac:dyDescent="0.25">
      <c r="C28" s="4" t="s">
        <v>20</v>
      </c>
    </row>
    <row r="29" spans="2:3" x14ac:dyDescent="0.25">
      <c r="C29" s="4" t="s">
        <v>21</v>
      </c>
    </row>
    <row r="30" spans="2:3" x14ac:dyDescent="0.25">
      <c r="C30" s="4" t="s">
        <v>22</v>
      </c>
    </row>
    <row r="31" spans="2:3" x14ac:dyDescent="0.25">
      <c r="C31" s="4" t="s">
        <v>15</v>
      </c>
    </row>
    <row r="32" spans="2:3" x14ac:dyDescent="0.25">
      <c r="C32" s="4" t="s">
        <v>16</v>
      </c>
    </row>
    <row r="33" spans="2:3" x14ac:dyDescent="0.25">
      <c r="C33" s="4" t="s">
        <v>17</v>
      </c>
    </row>
    <row r="34" spans="2:3" x14ac:dyDescent="0.25">
      <c r="C34" s="4" t="s">
        <v>18</v>
      </c>
    </row>
    <row r="35" spans="2:3" x14ac:dyDescent="0.25">
      <c r="C35" s="4" t="s">
        <v>19</v>
      </c>
    </row>
    <row r="36" spans="2:3" x14ac:dyDescent="0.25">
      <c r="C36" s="4" t="s">
        <v>20</v>
      </c>
    </row>
    <row r="37" spans="2:3" x14ac:dyDescent="0.25">
      <c r="C37" s="4" t="s">
        <v>23</v>
      </c>
    </row>
    <row r="38" spans="2:3" x14ac:dyDescent="0.25">
      <c r="C38" s="4" t="s">
        <v>24</v>
      </c>
    </row>
    <row r="40" spans="2:3" x14ac:dyDescent="0.25">
      <c r="B40" s="5" t="s">
        <v>25</v>
      </c>
      <c r="C40" s="3" t="s">
        <v>26</v>
      </c>
    </row>
    <row r="41" spans="2:3" x14ac:dyDescent="0.25">
      <c r="C41" s="4" t="s">
        <v>27</v>
      </c>
    </row>
    <row r="42" spans="2:3" x14ac:dyDescent="0.25">
      <c r="C42" s="4" t="s">
        <v>13</v>
      </c>
    </row>
    <row r="43" spans="2:3" x14ac:dyDescent="0.25">
      <c r="C43" s="4" t="s">
        <v>28</v>
      </c>
    </row>
    <row r="44" spans="2:3" x14ac:dyDescent="0.25">
      <c r="C44" s="4" t="s">
        <v>29</v>
      </c>
    </row>
    <row r="45" spans="2:3" x14ac:dyDescent="0.25">
      <c r="C45" s="4" t="s">
        <v>15</v>
      </c>
    </row>
    <row r="47" spans="2:3" x14ac:dyDescent="0.25">
      <c r="B47" s="17" t="s">
        <v>30</v>
      </c>
      <c r="C47" s="3" t="s">
        <v>254</v>
      </c>
    </row>
    <row r="48" spans="2:3" x14ac:dyDescent="0.25">
      <c r="C48" s="4" t="s">
        <v>31</v>
      </c>
    </row>
    <row r="49" spans="2:3" x14ac:dyDescent="0.25">
      <c r="C49" s="4" t="s">
        <v>13</v>
      </c>
    </row>
    <row r="50" spans="2:3" x14ac:dyDescent="0.25">
      <c r="C50" s="4" t="s">
        <v>249</v>
      </c>
    </row>
    <row r="51" spans="2:3" x14ac:dyDescent="0.25">
      <c r="C51" s="4" t="s">
        <v>250</v>
      </c>
    </row>
    <row r="54" spans="2:3" x14ac:dyDescent="0.25">
      <c r="B54" s="3" t="s">
        <v>32</v>
      </c>
    </row>
  </sheetData>
  <pageMargins left="0.7" right="0.7" top="0.75" bottom="0.75" header="0.3" footer="0.3"/>
  <pageSetup paperSize="9" orientation="portrait" verticalDpi="0"/>
  <headerFooter>
    <oddHeader>&amp;R&amp;"Calibri"&amp;11&amp;K000000 TUNI Luottamuksellinen - Confidential (3Y)&amp;1#_x000D_&amp;"Aptos Narrow"&amp;11&amp;K000000&amp;"Aptos Narrow"&amp;11&amp;K000000&amp;"Aptos Narrow"&amp;11&amp;K000000&amp;"Aptos Narrow"&amp;11&amp;K000000&amp;"Calibri"&amp;1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sqref="A1:B1"/>
    </sheetView>
  </sheetViews>
  <sheetFormatPr defaultRowHeight="15" x14ac:dyDescent="0.25"/>
  <sheetData>
    <row r="1" spans="1:2" x14ac:dyDescent="0.25">
      <c r="A1" s="21" t="s">
        <v>33</v>
      </c>
      <c r="B1" s="22"/>
    </row>
    <row r="2" spans="1:2" x14ac:dyDescent="0.25">
      <c r="A2" s="7" t="s">
        <v>34</v>
      </c>
      <c r="B2" s="8" t="s">
        <v>35</v>
      </c>
    </row>
    <row r="3" spans="1:2" x14ac:dyDescent="0.25">
      <c r="A3" s="9">
        <v>1.204119982655925</v>
      </c>
      <c r="B3" s="10">
        <v>62.689442619002953</v>
      </c>
    </row>
    <row r="4" spans="1:2" x14ac:dyDescent="0.25">
      <c r="A4" s="9">
        <v>1.505149978319906</v>
      </c>
      <c r="B4" s="10">
        <v>74.882311124695789</v>
      </c>
    </row>
    <row r="5" spans="1:2" x14ac:dyDescent="0.25">
      <c r="A5" s="9">
        <v>1.8061799739838871</v>
      </c>
      <c r="B5" s="10">
        <v>77.528082082346316</v>
      </c>
    </row>
    <row r="6" spans="1:2" x14ac:dyDescent="0.25">
      <c r="A6" s="9">
        <v>2.1072099696478679</v>
      </c>
      <c r="B6" s="10">
        <v>76.042875105069001</v>
      </c>
    </row>
    <row r="7" spans="1:2" x14ac:dyDescent="0.25">
      <c r="A7" s="9">
        <v>2.40823996531185</v>
      </c>
      <c r="B7" s="10">
        <v>45.415286007701582</v>
      </c>
    </row>
    <row r="8" spans="1:2" x14ac:dyDescent="0.25">
      <c r="A8" s="9">
        <v>2.7092699609758308</v>
      </c>
      <c r="B8" s="10">
        <v>22.152600733109651</v>
      </c>
    </row>
    <row r="9" spans="1:2" x14ac:dyDescent="0.25">
      <c r="A9" s="9">
        <v>3.0102999566398121</v>
      </c>
      <c r="B9" s="10">
        <v>37.047277004763131</v>
      </c>
    </row>
    <row r="10" spans="1:2" x14ac:dyDescent="0.25">
      <c r="A10" s="9">
        <v>3.3113299523037929</v>
      </c>
      <c r="B10" s="10">
        <v>1.476870923148528</v>
      </c>
    </row>
    <row r="11" spans="1:2" x14ac:dyDescent="0.25">
      <c r="A11" s="9">
        <v>3.6123599479677742</v>
      </c>
      <c r="B11" s="10">
        <v>-5.4735457637793816</v>
      </c>
    </row>
    <row r="13" spans="1:2" x14ac:dyDescent="0.25">
      <c r="A13" s="21" t="s">
        <v>36</v>
      </c>
      <c r="B13" s="22"/>
    </row>
    <row r="14" spans="1:2" x14ac:dyDescent="0.25">
      <c r="A14" s="7" t="s">
        <v>34</v>
      </c>
      <c r="B14" s="8" t="s">
        <v>37</v>
      </c>
    </row>
    <row r="15" spans="1:2" x14ac:dyDescent="0.25">
      <c r="A15" s="9">
        <v>1.204119982655925</v>
      </c>
      <c r="B15" s="10">
        <v>15.736552831210201</v>
      </c>
    </row>
    <row r="16" spans="1:2" x14ac:dyDescent="0.25">
      <c r="A16" s="9">
        <v>1.505149978319906</v>
      </c>
      <c r="B16" s="10">
        <v>1.3427682429201311</v>
      </c>
    </row>
    <row r="17" spans="1:2" x14ac:dyDescent="0.25">
      <c r="A17" s="9">
        <v>1.8061799739838871</v>
      </c>
      <c r="B17" s="10">
        <v>1.9296763578833389</v>
      </c>
    </row>
    <row r="18" spans="1:2" x14ac:dyDescent="0.25">
      <c r="A18" s="9">
        <v>2.1072099696478679</v>
      </c>
      <c r="B18" s="10">
        <v>0.41458548824393132</v>
      </c>
    </row>
    <row r="19" spans="1:2" x14ac:dyDescent="0.25">
      <c r="A19" s="9">
        <v>2.40823996531185</v>
      </c>
      <c r="B19" s="10">
        <v>0.24142020809326489</v>
      </c>
    </row>
    <row r="20" spans="1:2" x14ac:dyDescent="0.25">
      <c r="A20" s="9">
        <v>2.7092699609758308</v>
      </c>
      <c r="B20" s="10">
        <v>0.12724066813990581</v>
      </c>
    </row>
    <row r="21" spans="1:2" x14ac:dyDescent="0.25">
      <c r="A21" s="9">
        <v>3.0102999566398121</v>
      </c>
      <c r="B21" s="10">
        <v>0.1403017963264524</v>
      </c>
    </row>
    <row r="22" spans="1:2" x14ac:dyDescent="0.25">
      <c r="A22" s="9">
        <v>3.3113299523037929</v>
      </c>
      <c r="B22" s="10">
        <v>0.1554695580914742</v>
      </c>
    </row>
    <row r="23" spans="1:2" x14ac:dyDescent="0.25">
      <c r="A23" s="9">
        <v>3.6123599479677742</v>
      </c>
      <c r="B23" s="10">
        <v>0.12092076740448</v>
      </c>
    </row>
  </sheetData>
  <mergeCells count="2">
    <mergeCell ref="A13:B13"/>
    <mergeCell ref="A1:B1"/>
  </mergeCells>
  <pageMargins left="0.75" right="0.75" top="1" bottom="1" header="0.5" footer="0.5"/>
  <headerFooter>
    <oddHeader>&amp;R&amp;"Calibri"&amp;11&amp;K000000 TUNI Luottamuksellinen - Confidential (3Y)&amp;1#_x000D_&amp;"Aptos Narrow"&amp;11&amp;K000000&amp;"Aptos Narrow"&amp;11&amp;K000000&amp;"Calibri"&amp;1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75"/>
  <sheetViews>
    <sheetView workbookViewId="0">
      <selection sqref="A1:B1"/>
    </sheetView>
  </sheetViews>
  <sheetFormatPr defaultRowHeight="15" x14ac:dyDescent="0.25"/>
  <sheetData>
    <row r="1" spans="1:25" x14ac:dyDescent="0.25">
      <c r="A1" t="s">
        <v>38</v>
      </c>
    </row>
    <row r="2" spans="1:25" x14ac:dyDescent="0.25">
      <c r="A2" t="s">
        <v>39</v>
      </c>
      <c r="B2" t="s">
        <v>40</v>
      </c>
      <c r="C2" t="s">
        <v>41</v>
      </c>
      <c r="D2" t="s">
        <v>42</v>
      </c>
      <c r="E2" t="s">
        <v>43</v>
      </c>
      <c r="F2" t="s">
        <v>44</v>
      </c>
      <c r="G2" t="s">
        <v>45</v>
      </c>
      <c r="H2" t="s">
        <v>46</v>
      </c>
      <c r="I2" t="s">
        <v>47</v>
      </c>
      <c r="J2" t="s">
        <v>48</v>
      </c>
      <c r="K2" t="s">
        <v>49</v>
      </c>
      <c r="L2" t="s">
        <v>50</v>
      </c>
      <c r="M2" t="s">
        <v>51</v>
      </c>
      <c r="N2" t="s">
        <v>52</v>
      </c>
      <c r="O2" t="s">
        <v>53</v>
      </c>
      <c r="P2" t="s">
        <v>54</v>
      </c>
      <c r="Q2" t="s">
        <v>55</v>
      </c>
    </row>
    <row r="3" spans="1:25" x14ac:dyDescent="0.25">
      <c r="A3">
        <v>1</v>
      </c>
      <c r="B3">
        <v>1</v>
      </c>
      <c r="D3" t="s">
        <v>56</v>
      </c>
      <c r="E3" t="s">
        <v>57</v>
      </c>
      <c r="F3" t="s">
        <v>58</v>
      </c>
      <c r="G3" t="s">
        <v>59</v>
      </c>
      <c r="H3" t="s">
        <v>59</v>
      </c>
      <c r="I3" t="s">
        <v>60</v>
      </c>
      <c r="J3" t="s">
        <v>61</v>
      </c>
      <c r="K3">
        <v>1</v>
      </c>
      <c r="L3" t="s">
        <v>62</v>
      </c>
      <c r="M3">
        <v>0</v>
      </c>
      <c r="N3">
        <v>0</v>
      </c>
      <c r="O3" t="s">
        <v>63</v>
      </c>
      <c r="P3">
        <v>0</v>
      </c>
      <c r="Q3" t="s">
        <v>64</v>
      </c>
    </row>
    <row r="5" spans="1:25" x14ac:dyDescent="0.25">
      <c r="A5" t="s">
        <v>65</v>
      </c>
    </row>
    <row r="6" spans="1:25" x14ac:dyDescent="0.25">
      <c r="B6">
        <v>1</v>
      </c>
      <c r="C6">
        <v>2</v>
      </c>
      <c r="D6">
        <v>3</v>
      </c>
      <c r="E6">
        <v>4</v>
      </c>
      <c r="F6">
        <v>5</v>
      </c>
      <c r="G6">
        <v>6</v>
      </c>
      <c r="H6">
        <v>7</v>
      </c>
      <c r="I6">
        <v>8</v>
      </c>
      <c r="J6">
        <v>9</v>
      </c>
      <c r="K6">
        <v>10</v>
      </c>
      <c r="L6">
        <v>11</v>
      </c>
      <c r="M6">
        <v>12</v>
      </c>
      <c r="N6">
        <v>13</v>
      </c>
      <c r="O6">
        <v>14</v>
      </c>
      <c r="P6">
        <v>15</v>
      </c>
      <c r="Q6">
        <v>16</v>
      </c>
      <c r="R6">
        <v>17</v>
      </c>
      <c r="S6">
        <v>18</v>
      </c>
      <c r="T6">
        <v>19</v>
      </c>
      <c r="U6">
        <v>20</v>
      </c>
      <c r="V6">
        <v>21</v>
      </c>
      <c r="W6">
        <v>22</v>
      </c>
      <c r="X6">
        <v>23</v>
      </c>
      <c r="Y6">
        <v>24</v>
      </c>
    </row>
    <row r="7" spans="1:25" x14ac:dyDescent="0.25">
      <c r="A7" t="s">
        <v>66</v>
      </c>
    </row>
    <row r="8" spans="1:25" x14ac:dyDescent="0.25">
      <c r="A8" t="s">
        <v>67</v>
      </c>
      <c r="B8">
        <v>56634</v>
      </c>
      <c r="C8">
        <v>57830</v>
      </c>
      <c r="D8">
        <v>40671</v>
      </c>
      <c r="E8">
        <v>45291</v>
      </c>
      <c r="F8">
        <v>48737</v>
      </c>
      <c r="G8">
        <v>50198</v>
      </c>
      <c r="H8">
        <v>48086</v>
      </c>
      <c r="I8">
        <v>25605</v>
      </c>
      <c r="J8">
        <v>44359</v>
      </c>
      <c r="K8">
        <v>16257</v>
      </c>
      <c r="L8">
        <v>6595</v>
      </c>
      <c r="M8">
        <v>14006</v>
      </c>
    </row>
    <row r="9" spans="1:25" x14ac:dyDescent="0.25">
      <c r="A9" t="s">
        <v>68</v>
      </c>
    </row>
    <row r="10" spans="1:25" x14ac:dyDescent="0.25">
      <c r="A10" t="s">
        <v>69</v>
      </c>
      <c r="B10">
        <v>63977</v>
      </c>
      <c r="C10">
        <v>59715</v>
      </c>
      <c r="D10">
        <v>40647</v>
      </c>
      <c r="E10">
        <v>48555</v>
      </c>
      <c r="F10">
        <v>51431</v>
      </c>
      <c r="G10">
        <v>51772</v>
      </c>
      <c r="H10">
        <v>50165</v>
      </c>
      <c r="I10">
        <v>34536</v>
      </c>
      <c r="J10">
        <v>54213</v>
      </c>
      <c r="K10">
        <v>5925</v>
      </c>
      <c r="L10">
        <v>2630</v>
      </c>
      <c r="M10">
        <v>5958</v>
      </c>
    </row>
    <row r="11" spans="1:25" x14ac:dyDescent="0.25">
      <c r="A11" t="s">
        <v>70</v>
      </c>
    </row>
    <row r="12" spans="1:25" x14ac:dyDescent="0.25">
      <c r="A12" t="s">
        <v>71</v>
      </c>
      <c r="B12">
        <v>63637</v>
      </c>
      <c r="C12">
        <v>58470</v>
      </c>
      <c r="D12">
        <v>39638</v>
      </c>
      <c r="E12">
        <v>43681</v>
      </c>
      <c r="F12">
        <v>45021</v>
      </c>
      <c r="G12">
        <v>46222</v>
      </c>
      <c r="H12">
        <v>7021</v>
      </c>
      <c r="I12">
        <v>7414</v>
      </c>
      <c r="J12">
        <v>3489</v>
      </c>
      <c r="K12">
        <v>3015</v>
      </c>
      <c r="L12">
        <v>1109</v>
      </c>
      <c r="M12">
        <v>2989</v>
      </c>
    </row>
    <row r="13" spans="1:25" x14ac:dyDescent="0.25">
      <c r="A13" t="s">
        <v>72</v>
      </c>
    </row>
    <row r="14" spans="1:25" x14ac:dyDescent="0.25">
      <c r="A14" t="s">
        <v>73</v>
      </c>
      <c r="B14">
        <v>61161</v>
      </c>
      <c r="C14">
        <v>59077</v>
      </c>
      <c r="D14">
        <v>38730</v>
      </c>
      <c r="E14">
        <v>48487</v>
      </c>
      <c r="F14">
        <v>46538</v>
      </c>
      <c r="G14">
        <v>40328</v>
      </c>
      <c r="H14">
        <v>17114</v>
      </c>
      <c r="I14">
        <v>4600</v>
      </c>
      <c r="J14">
        <v>2256</v>
      </c>
      <c r="K14">
        <v>2313</v>
      </c>
      <c r="L14">
        <v>2168</v>
      </c>
      <c r="M14">
        <v>1368</v>
      </c>
    </row>
    <row r="15" spans="1:25" x14ac:dyDescent="0.25">
      <c r="A15" t="s">
        <v>74</v>
      </c>
    </row>
    <row r="16" spans="1:25" x14ac:dyDescent="0.25">
      <c r="A16" t="s">
        <v>75</v>
      </c>
      <c r="B16">
        <v>69023</v>
      </c>
      <c r="C16">
        <v>60203</v>
      </c>
      <c r="D16">
        <v>3075</v>
      </c>
      <c r="E16">
        <v>1082</v>
      </c>
      <c r="F16">
        <v>655</v>
      </c>
      <c r="G16">
        <v>773</v>
      </c>
      <c r="H16">
        <v>527</v>
      </c>
      <c r="I16">
        <v>402</v>
      </c>
      <c r="J16">
        <v>437</v>
      </c>
      <c r="K16">
        <v>523</v>
      </c>
      <c r="L16">
        <v>437</v>
      </c>
      <c r="M16">
        <v>326</v>
      </c>
    </row>
    <row r="17" spans="1:13" x14ac:dyDescent="0.25">
      <c r="A17" t="s">
        <v>76</v>
      </c>
    </row>
    <row r="18" spans="1:13" x14ac:dyDescent="0.25">
      <c r="A18" t="s">
        <v>77</v>
      </c>
      <c r="B18">
        <v>64610</v>
      </c>
      <c r="C18">
        <v>55986</v>
      </c>
      <c r="D18">
        <v>4421</v>
      </c>
      <c r="E18">
        <v>802</v>
      </c>
      <c r="F18">
        <v>1244</v>
      </c>
      <c r="G18">
        <v>506</v>
      </c>
      <c r="H18">
        <v>571</v>
      </c>
      <c r="I18">
        <v>411</v>
      </c>
      <c r="J18">
        <v>442</v>
      </c>
      <c r="K18">
        <v>398</v>
      </c>
      <c r="L18">
        <v>431</v>
      </c>
      <c r="M18">
        <v>330</v>
      </c>
    </row>
    <row r="19" spans="1:13" x14ac:dyDescent="0.25">
      <c r="A19" t="s">
        <v>78</v>
      </c>
    </row>
    <row r="20" spans="1:13" x14ac:dyDescent="0.25">
      <c r="A20" t="s">
        <v>79</v>
      </c>
      <c r="B20">
        <v>57206</v>
      </c>
      <c r="C20">
        <v>58488</v>
      </c>
      <c r="D20">
        <v>14689</v>
      </c>
      <c r="E20">
        <v>727</v>
      </c>
      <c r="F20">
        <v>2891</v>
      </c>
      <c r="G20">
        <v>561</v>
      </c>
      <c r="H20">
        <v>448</v>
      </c>
      <c r="I20">
        <v>481</v>
      </c>
      <c r="J20">
        <v>476</v>
      </c>
      <c r="K20">
        <v>407</v>
      </c>
      <c r="L20">
        <v>417</v>
      </c>
      <c r="M20">
        <v>345</v>
      </c>
    </row>
    <row r="21" spans="1:13" x14ac:dyDescent="0.25">
      <c r="A21" t="s">
        <v>80</v>
      </c>
    </row>
    <row r="22" spans="1:13" x14ac:dyDescent="0.25">
      <c r="A22" t="s">
        <v>81</v>
      </c>
      <c r="B22">
        <v>55666</v>
      </c>
      <c r="C22">
        <v>56217</v>
      </c>
      <c r="D22">
        <v>16519</v>
      </c>
      <c r="E22">
        <v>1930</v>
      </c>
      <c r="F22">
        <v>1144</v>
      </c>
      <c r="G22">
        <v>498</v>
      </c>
      <c r="H22">
        <v>381</v>
      </c>
      <c r="I22">
        <v>362</v>
      </c>
      <c r="J22">
        <v>332</v>
      </c>
      <c r="K22">
        <v>395</v>
      </c>
      <c r="L22">
        <v>356</v>
      </c>
      <c r="M22">
        <v>353</v>
      </c>
    </row>
    <row r="25" spans="1:13" x14ac:dyDescent="0.25">
      <c r="A25" t="s">
        <v>82</v>
      </c>
    </row>
    <row r="26" spans="1:13" x14ac:dyDescent="0.25">
      <c r="A26" t="s">
        <v>83</v>
      </c>
      <c r="E26">
        <v>19338</v>
      </c>
    </row>
    <row r="27" spans="1:13" x14ac:dyDescent="0.25">
      <c r="A27" t="s">
        <v>84</v>
      </c>
      <c r="E27" t="s">
        <v>85</v>
      </c>
    </row>
    <row r="28" spans="1:13" x14ac:dyDescent="0.25">
      <c r="A28" t="s">
        <v>86</v>
      </c>
      <c r="E28" t="s">
        <v>87</v>
      </c>
    </row>
    <row r="29" spans="1:13" x14ac:dyDescent="0.25">
      <c r="A29" t="s">
        <v>88</v>
      </c>
      <c r="E29" t="s">
        <v>89</v>
      </c>
    </row>
    <row r="30" spans="1:13" x14ac:dyDescent="0.25">
      <c r="A30" t="s">
        <v>90</v>
      </c>
      <c r="E30">
        <v>100437</v>
      </c>
    </row>
    <row r="31" spans="1:13" x14ac:dyDescent="0.25">
      <c r="A31" t="s">
        <v>91</v>
      </c>
      <c r="E31" t="s">
        <v>92</v>
      </c>
    </row>
    <row r="32" spans="1:13" x14ac:dyDescent="0.25">
      <c r="A32" t="s">
        <v>93</v>
      </c>
      <c r="E32">
        <v>1041132</v>
      </c>
    </row>
    <row r="36" spans="1:5" x14ac:dyDescent="0.25">
      <c r="A36" t="s">
        <v>94</v>
      </c>
    </row>
    <row r="37" spans="1:5" x14ac:dyDescent="0.25">
      <c r="A37" t="s">
        <v>95</v>
      </c>
    </row>
    <row r="38" spans="1:5" x14ac:dyDescent="0.25">
      <c r="A38" t="s">
        <v>96</v>
      </c>
      <c r="E38" t="s">
        <v>92</v>
      </c>
    </row>
    <row r="39" spans="1:5" x14ac:dyDescent="0.25">
      <c r="A39" t="s">
        <v>97</v>
      </c>
      <c r="E39">
        <v>1</v>
      </c>
    </row>
    <row r="40" spans="1:5" x14ac:dyDescent="0.25">
      <c r="A40" t="s">
        <v>98</v>
      </c>
      <c r="E40" t="s">
        <v>99</v>
      </c>
    </row>
    <row r="41" spans="1:5" x14ac:dyDescent="0.25">
      <c r="A41" t="s">
        <v>100</v>
      </c>
      <c r="E41">
        <v>1</v>
      </c>
    </row>
    <row r="42" spans="1:5" x14ac:dyDescent="0.25">
      <c r="A42" t="s">
        <v>101</v>
      </c>
      <c r="E42" t="s">
        <v>99</v>
      </c>
    </row>
    <row r="43" spans="1:5" x14ac:dyDescent="0.25">
      <c r="A43" t="s">
        <v>102</v>
      </c>
      <c r="E43" t="s">
        <v>103</v>
      </c>
    </row>
    <row r="44" spans="1:5" x14ac:dyDescent="0.25">
      <c r="A44" t="s">
        <v>104</v>
      </c>
      <c r="E44" t="s">
        <v>105</v>
      </c>
    </row>
    <row r="45" spans="1:5" x14ac:dyDescent="0.25">
      <c r="A45" t="s">
        <v>106</v>
      </c>
      <c r="E45" t="s">
        <v>107</v>
      </c>
    </row>
    <row r="46" spans="1:5" x14ac:dyDescent="0.25">
      <c r="A46" t="s">
        <v>108</v>
      </c>
      <c r="E46" t="s">
        <v>109</v>
      </c>
    </row>
    <row r="47" spans="1:5" x14ac:dyDescent="0.25">
      <c r="A47" t="s">
        <v>110</v>
      </c>
      <c r="E47" t="s">
        <v>107</v>
      </c>
    </row>
    <row r="48" spans="1:5" x14ac:dyDescent="0.25">
      <c r="A48" t="s">
        <v>111</v>
      </c>
      <c r="E48" t="s">
        <v>107</v>
      </c>
    </row>
    <row r="49" spans="1:5" x14ac:dyDescent="0.25">
      <c r="A49" t="s">
        <v>112</v>
      </c>
    </row>
    <row r="51" spans="1:5" x14ac:dyDescent="0.25">
      <c r="A51" t="s">
        <v>113</v>
      </c>
    </row>
    <row r="52" spans="1:5" x14ac:dyDescent="0.25">
      <c r="A52" t="s">
        <v>114</v>
      </c>
      <c r="E52" t="s">
        <v>115</v>
      </c>
    </row>
    <row r="53" spans="1:5" x14ac:dyDescent="0.25">
      <c r="A53" t="s">
        <v>116</v>
      </c>
      <c r="E53">
        <v>16</v>
      </c>
    </row>
    <row r="54" spans="1:5" x14ac:dyDescent="0.25">
      <c r="A54" t="s">
        <v>117</v>
      </c>
      <c r="E54">
        <v>24</v>
      </c>
    </row>
    <row r="55" spans="1:5" x14ac:dyDescent="0.25">
      <c r="A55" t="s">
        <v>118</v>
      </c>
      <c r="E55">
        <v>384</v>
      </c>
    </row>
    <row r="56" spans="1:5" x14ac:dyDescent="0.25">
      <c r="A56" t="s">
        <v>119</v>
      </c>
      <c r="E56" t="s">
        <v>120</v>
      </c>
    </row>
    <row r="58" spans="1:5" x14ac:dyDescent="0.25">
      <c r="A58" t="s">
        <v>121</v>
      </c>
    </row>
    <row r="59" spans="1:5" x14ac:dyDescent="0.25">
      <c r="A59" t="s">
        <v>122</v>
      </c>
    </row>
    <row r="60" spans="1:5" x14ac:dyDescent="0.25">
      <c r="A60" t="s">
        <v>123</v>
      </c>
    </row>
    <row r="61" spans="1:5" x14ac:dyDescent="0.25">
      <c r="A61" t="s">
        <v>124</v>
      </c>
    </row>
    <row r="63" spans="1:5" x14ac:dyDescent="0.25">
      <c r="A63" t="s">
        <v>125</v>
      </c>
    </row>
    <row r="64" spans="1:5" x14ac:dyDescent="0.25">
      <c r="A64" t="s">
        <v>126</v>
      </c>
    </row>
    <row r="66" spans="1:25" x14ac:dyDescent="0.25">
      <c r="A66" t="s">
        <v>127</v>
      </c>
    </row>
    <row r="67" spans="1:25" x14ac:dyDescent="0.25">
      <c r="A67" t="s">
        <v>39</v>
      </c>
      <c r="E67">
        <v>1</v>
      </c>
    </row>
    <row r="68" spans="1:25" x14ac:dyDescent="0.25">
      <c r="A68" t="s">
        <v>49</v>
      </c>
      <c r="E68">
        <v>1</v>
      </c>
    </row>
    <row r="70" spans="1:25" x14ac:dyDescent="0.25">
      <c r="B70">
        <v>1</v>
      </c>
      <c r="C70">
        <v>2</v>
      </c>
      <c r="D70">
        <v>3</v>
      </c>
      <c r="E70">
        <v>4</v>
      </c>
      <c r="F70">
        <v>5</v>
      </c>
      <c r="G70">
        <v>6</v>
      </c>
      <c r="H70">
        <v>7</v>
      </c>
      <c r="I70">
        <v>8</v>
      </c>
      <c r="J70">
        <v>9</v>
      </c>
      <c r="K70">
        <v>10</v>
      </c>
      <c r="L70">
        <v>11</v>
      </c>
      <c r="M70">
        <v>12</v>
      </c>
      <c r="N70">
        <v>13</v>
      </c>
      <c r="O70">
        <v>14</v>
      </c>
      <c r="P70">
        <v>15</v>
      </c>
      <c r="Q70">
        <v>16</v>
      </c>
      <c r="R70">
        <v>17</v>
      </c>
      <c r="S70">
        <v>18</v>
      </c>
      <c r="T70">
        <v>19</v>
      </c>
      <c r="U70">
        <v>20</v>
      </c>
      <c r="V70">
        <v>21</v>
      </c>
      <c r="W70">
        <v>22</v>
      </c>
      <c r="X70">
        <v>23</v>
      </c>
      <c r="Y70">
        <v>24</v>
      </c>
    </row>
    <row r="71" spans="1:25" x14ac:dyDescent="0.25">
      <c r="A71" t="s">
        <v>66</v>
      </c>
    </row>
    <row r="72" spans="1:25" x14ac:dyDescent="0.25">
      <c r="A72" t="s">
        <v>67</v>
      </c>
      <c r="B72" t="s">
        <v>128</v>
      </c>
      <c r="C72" t="s">
        <v>128</v>
      </c>
      <c r="D72" t="s">
        <v>128</v>
      </c>
      <c r="E72" t="s">
        <v>128</v>
      </c>
      <c r="F72" t="s">
        <v>128</v>
      </c>
      <c r="G72" t="s">
        <v>128</v>
      </c>
      <c r="H72" t="s">
        <v>128</v>
      </c>
      <c r="I72" t="s">
        <v>128</v>
      </c>
      <c r="J72" t="s">
        <v>128</v>
      </c>
      <c r="K72" t="s">
        <v>128</v>
      </c>
      <c r="L72" t="s">
        <v>128</v>
      </c>
      <c r="M72" t="s">
        <v>128</v>
      </c>
    </row>
    <row r="73" spans="1:25" x14ac:dyDescent="0.25">
      <c r="A73" t="s">
        <v>68</v>
      </c>
    </row>
    <row r="74" spans="1:25" x14ac:dyDescent="0.25">
      <c r="A74" t="s">
        <v>69</v>
      </c>
      <c r="B74" t="s">
        <v>128</v>
      </c>
      <c r="C74" t="s">
        <v>128</v>
      </c>
      <c r="D74" t="s">
        <v>128</v>
      </c>
      <c r="E74" t="s">
        <v>128</v>
      </c>
      <c r="F74" t="s">
        <v>128</v>
      </c>
      <c r="G74" t="s">
        <v>128</v>
      </c>
      <c r="H74" t="s">
        <v>128</v>
      </c>
      <c r="I74" t="s">
        <v>128</v>
      </c>
      <c r="J74" t="s">
        <v>128</v>
      </c>
      <c r="K74" t="s">
        <v>128</v>
      </c>
      <c r="L74" t="s">
        <v>128</v>
      </c>
      <c r="M74" t="s">
        <v>128</v>
      </c>
    </row>
    <row r="75" spans="1:25" x14ac:dyDescent="0.25">
      <c r="A75" t="s">
        <v>70</v>
      </c>
    </row>
    <row r="76" spans="1:25" x14ac:dyDescent="0.25">
      <c r="A76" t="s">
        <v>71</v>
      </c>
      <c r="B76" t="s">
        <v>128</v>
      </c>
      <c r="C76" t="s">
        <v>128</v>
      </c>
      <c r="D76" t="s">
        <v>128</v>
      </c>
      <c r="E76" t="s">
        <v>128</v>
      </c>
      <c r="F76" t="s">
        <v>128</v>
      </c>
      <c r="G76" t="s">
        <v>128</v>
      </c>
      <c r="H76" t="s">
        <v>128</v>
      </c>
      <c r="I76" t="s">
        <v>128</v>
      </c>
      <c r="J76" t="s">
        <v>128</v>
      </c>
      <c r="K76" t="s">
        <v>128</v>
      </c>
      <c r="L76" t="s">
        <v>128</v>
      </c>
      <c r="M76" t="s">
        <v>128</v>
      </c>
    </row>
    <row r="77" spans="1:25" x14ac:dyDescent="0.25">
      <c r="A77" t="s">
        <v>72</v>
      </c>
    </row>
    <row r="78" spans="1:25" x14ac:dyDescent="0.25">
      <c r="A78" t="s">
        <v>73</v>
      </c>
      <c r="B78" t="s">
        <v>128</v>
      </c>
      <c r="C78" t="s">
        <v>128</v>
      </c>
      <c r="D78" t="s">
        <v>128</v>
      </c>
      <c r="E78" t="s">
        <v>128</v>
      </c>
      <c r="F78" t="s">
        <v>128</v>
      </c>
      <c r="G78" t="s">
        <v>128</v>
      </c>
      <c r="H78" t="s">
        <v>128</v>
      </c>
      <c r="I78" t="s">
        <v>128</v>
      </c>
      <c r="J78" t="s">
        <v>128</v>
      </c>
      <c r="K78" t="s">
        <v>128</v>
      </c>
      <c r="L78" t="s">
        <v>128</v>
      </c>
      <c r="M78" t="s">
        <v>128</v>
      </c>
    </row>
    <row r="79" spans="1:25" x14ac:dyDescent="0.25">
      <c r="A79" t="s">
        <v>74</v>
      </c>
    </row>
    <row r="80" spans="1:25" x14ac:dyDescent="0.25">
      <c r="A80" t="s">
        <v>75</v>
      </c>
      <c r="B80" t="s">
        <v>128</v>
      </c>
      <c r="C80" t="s">
        <v>128</v>
      </c>
      <c r="D80" t="s">
        <v>128</v>
      </c>
      <c r="E80" t="s">
        <v>128</v>
      </c>
      <c r="F80" t="s">
        <v>128</v>
      </c>
      <c r="G80" t="s">
        <v>128</v>
      </c>
      <c r="H80" t="s">
        <v>128</v>
      </c>
      <c r="I80" t="s">
        <v>128</v>
      </c>
      <c r="J80" t="s">
        <v>128</v>
      </c>
      <c r="K80" t="s">
        <v>128</v>
      </c>
      <c r="L80" t="s">
        <v>128</v>
      </c>
      <c r="M80" t="s">
        <v>128</v>
      </c>
    </row>
    <row r="81" spans="1:13" x14ac:dyDescent="0.25">
      <c r="A81" t="s">
        <v>76</v>
      </c>
    </row>
    <row r="82" spans="1:13" x14ac:dyDescent="0.25">
      <c r="A82" t="s">
        <v>77</v>
      </c>
      <c r="B82" t="s">
        <v>128</v>
      </c>
      <c r="C82" t="s">
        <v>128</v>
      </c>
      <c r="D82" t="s">
        <v>128</v>
      </c>
      <c r="E82" t="s">
        <v>128</v>
      </c>
      <c r="F82" t="s">
        <v>128</v>
      </c>
      <c r="G82" t="s">
        <v>128</v>
      </c>
      <c r="H82" t="s">
        <v>128</v>
      </c>
      <c r="I82" t="s">
        <v>128</v>
      </c>
      <c r="J82" t="s">
        <v>128</v>
      </c>
      <c r="K82" t="s">
        <v>128</v>
      </c>
      <c r="L82" t="s">
        <v>128</v>
      </c>
      <c r="M82" t="s">
        <v>128</v>
      </c>
    </row>
    <row r="83" spans="1:13" x14ac:dyDescent="0.25">
      <c r="A83" t="s">
        <v>78</v>
      </c>
    </row>
    <row r="84" spans="1:13" x14ac:dyDescent="0.25">
      <c r="A84" t="s">
        <v>79</v>
      </c>
      <c r="B84" t="s">
        <v>128</v>
      </c>
      <c r="C84" t="s">
        <v>128</v>
      </c>
      <c r="D84" t="s">
        <v>128</v>
      </c>
      <c r="E84" t="s">
        <v>128</v>
      </c>
      <c r="F84" t="s">
        <v>128</v>
      </c>
      <c r="G84" t="s">
        <v>128</v>
      </c>
      <c r="H84" t="s">
        <v>128</v>
      </c>
      <c r="I84" t="s">
        <v>128</v>
      </c>
      <c r="J84" t="s">
        <v>128</v>
      </c>
      <c r="K84" t="s">
        <v>128</v>
      </c>
      <c r="L84" t="s">
        <v>128</v>
      </c>
      <c r="M84" t="s">
        <v>128</v>
      </c>
    </row>
    <row r="85" spans="1:13" x14ac:dyDescent="0.25">
      <c r="A85" t="s">
        <v>80</v>
      </c>
    </row>
    <row r="86" spans="1:13" x14ac:dyDescent="0.25">
      <c r="A86" t="s">
        <v>81</v>
      </c>
      <c r="B86" t="s">
        <v>128</v>
      </c>
      <c r="C86" t="s">
        <v>128</v>
      </c>
      <c r="D86" t="s">
        <v>128</v>
      </c>
      <c r="E86" t="s">
        <v>128</v>
      </c>
      <c r="F86" t="s">
        <v>128</v>
      </c>
      <c r="G86" t="s">
        <v>128</v>
      </c>
      <c r="H86" t="s">
        <v>128</v>
      </c>
      <c r="I86" t="s">
        <v>128</v>
      </c>
      <c r="J86" t="s">
        <v>128</v>
      </c>
      <c r="K86" t="s">
        <v>128</v>
      </c>
      <c r="L86" t="s">
        <v>128</v>
      </c>
      <c r="M86" t="s">
        <v>128</v>
      </c>
    </row>
    <row r="88" spans="1:13" x14ac:dyDescent="0.25">
      <c r="A88" t="s">
        <v>129</v>
      </c>
    </row>
    <row r="90" spans="1:13" x14ac:dyDescent="0.25">
      <c r="A90" t="s">
        <v>130</v>
      </c>
    </row>
    <row r="91" spans="1:13" x14ac:dyDescent="0.25">
      <c r="A91" t="s">
        <v>131</v>
      </c>
    </row>
    <row r="93" spans="1:13" x14ac:dyDescent="0.25">
      <c r="A93" t="s">
        <v>132</v>
      </c>
    </row>
    <row r="94" spans="1:13" x14ac:dyDescent="0.25">
      <c r="A94" t="s">
        <v>133</v>
      </c>
      <c r="E94" t="s">
        <v>134</v>
      </c>
    </row>
    <row r="95" spans="1:13" x14ac:dyDescent="0.25">
      <c r="A95" t="s">
        <v>135</v>
      </c>
      <c r="E95" t="s">
        <v>103</v>
      </c>
    </row>
    <row r="96" spans="1:13" x14ac:dyDescent="0.25">
      <c r="A96" t="s">
        <v>136</v>
      </c>
      <c r="E96" t="s">
        <v>137</v>
      </c>
    </row>
    <row r="97" spans="1:5" x14ac:dyDescent="0.25">
      <c r="A97" t="s">
        <v>138</v>
      </c>
      <c r="E97" t="s">
        <v>103</v>
      </c>
    </row>
    <row r="98" spans="1:5" x14ac:dyDescent="0.25">
      <c r="A98" t="s">
        <v>139</v>
      </c>
      <c r="E98" t="s">
        <v>140</v>
      </c>
    </row>
    <row r="99" spans="1:5" x14ac:dyDescent="0.25">
      <c r="A99" t="s">
        <v>141</v>
      </c>
      <c r="E99" t="s">
        <v>103</v>
      </c>
    </row>
    <row r="100" spans="1:5" x14ac:dyDescent="0.25">
      <c r="A100" t="s">
        <v>142</v>
      </c>
      <c r="E100" t="s">
        <v>143</v>
      </c>
    </row>
    <row r="101" spans="1:5" x14ac:dyDescent="0.25">
      <c r="A101" t="s">
        <v>144</v>
      </c>
      <c r="E101" t="s">
        <v>103</v>
      </c>
    </row>
    <row r="102" spans="1:5" x14ac:dyDescent="0.25">
      <c r="A102" t="s">
        <v>145</v>
      </c>
      <c r="E102" t="s">
        <v>103</v>
      </c>
    </row>
    <row r="103" spans="1:5" x14ac:dyDescent="0.25">
      <c r="A103" t="s">
        <v>146</v>
      </c>
      <c r="E103" t="s">
        <v>103</v>
      </c>
    </row>
    <row r="104" spans="1:5" x14ac:dyDescent="0.25">
      <c r="A104" t="s">
        <v>147</v>
      </c>
      <c r="E104" t="s">
        <v>107</v>
      </c>
    </row>
    <row r="105" spans="1:5" x14ac:dyDescent="0.25">
      <c r="A105" t="s">
        <v>148</v>
      </c>
      <c r="E105" t="s">
        <v>149</v>
      </c>
    </row>
    <row r="106" spans="1:5" x14ac:dyDescent="0.25">
      <c r="A106" t="s">
        <v>150</v>
      </c>
      <c r="E106" t="s">
        <v>151</v>
      </c>
    </row>
    <row r="108" spans="1:5" x14ac:dyDescent="0.25">
      <c r="A108" t="s">
        <v>152</v>
      </c>
    </row>
    <row r="109" spans="1:5" x14ac:dyDescent="0.25">
      <c r="A109" t="s">
        <v>153</v>
      </c>
    </row>
    <row r="110" spans="1:5" x14ac:dyDescent="0.25">
      <c r="A110" t="s">
        <v>154</v>
      </c>
    </row>
    <row r="111" spans="1:5" x14ac:dyDescent="0.25">
      <c r="A111" t="s">
        <v>155</v>
      </c>
    </row>
    <row r="112" spans="1:5" x14ac:dyDescent="0.25">
      <c r="A112" t="s">
        <v>156</v>
      </c>
      <c r="E112" t="s">
        <v>62</v>
      </c>
    </row>
    <row r="114" spans="1:5" x14ac:dyDescent="0.25">
      <c r="A114" t="s">
        <v>157</v>
      </c>
    </row>
    <row r="115" spans="1:5" x14ac:dyDescent="0.25">
      <c r="A115" t="s">
        <v>158</v>
      </c>
      <c r="E115">
        <v>4000031</v>
      </c>
    </row>
    <row r="116" spans="1:5" x14ac:dyDescent="0.25">
      <c r="A116" t="s">
        <v>159</v>
      </c>
      <c r="E116" t="s">
        <v>99</v>
      </c>
    </row>
    <row r="117" spans="1:5" x14ac:dyDescent="0.25">
      <c r="A117" t="s">
        <v>160</v>
      </c>
      <c r="E117" t="s">
        <v>99</v>
      </c>
    </row>
    <row r="118" spans="1:5" x14ac:dyDescent="0.25">
      <c r="A118" t="s">
        <v>161</v>
      </c>
      <c r="E118" t="s">
        <v>162</v>
      </c>
    </row>
    <row r="119" spans="1:5" x14ac:dyDescent="0.25">
      <c r="A119" t="s">
        <v>163</v>
      </c>
      <c r="E119" t="s">
        <v>164</v>
      </c>
    </row>
    <row r="120" spans="1:5" x14ac:dyDescent="0.25">
      <c r="A120" t="s">
        <v>165</v>
      </c>
      <c r="E120" t="s">
        <v>99</v>
      </c>
    </row>
    <row r="121" spans="1:5" x14ac:dyDescent="0.25">
      <c r="A121" t="s">
        <v>166</v>
      </c>
      <c r="E121" t="s">
        <v>164</v>
      </c>
    </row>
    <row r="122" spans="1:5" x14ac:dyDescent="0.25">
      <c r="A122" t="s">
        <v>167</v>
      </c>
      <c r="E122" t="s">
        <v>168</v>
      </c>
    </row>
    <row r="123" spans="1:5" x14ac:dyDescent="0.25">
      <c r="A123" t="s">
        <v>169</v>
      </c>
      <c r="E123" t="s">
        <v>99</v>
      </c>
    </row>
    <row r="124" spans="1:5" x14ac:dyDescent="0.25">
      <c r="A124" t="s">
        <v>170</v>
      </c>
      <c r="E124" t="s">
        <v>99</v>
      </c>
    </row>
    <row r="125" spans="1:5" x14ac:dyDescent="0.25">
      <c r="A125" t="s">
        <v>171</v>
      </c>
      <c r="E125" t="s">
        <v>172</v>
      </c>
    </row>
    <row r="126" spans="1:5" x14ac:dyDescent="0.25">
      <c r="A126" t="s">
        <v>173</v>
      </c>
      <c r="E126" t="s">
        <v>174</v>
      </c>
    </row>
    <row r="127" spans="1:5" x14ac:dyDescent="0.25">
      <c r="A127" t="s">
        <v>175</v>
      </c>
      <c r="E127">
        <v>100</v>
      </c>
    </row>
    <row r="128" spans="1:5" x14ac:dyDescent="0.25">
      <c r="A128" t="s">
        <v>176</v>
      </c>
      <c r="E128">
        <v>100</v>
      </c>
    </row>
    <row r="129" spans="1:5" x14ac:dyDescent="0.25">
      <c r="A129" t="s">
        <v>177</v>
      </c>
      <c r="E129">
        <v>750</v>
      </c>
    </row>
    <row r="130" spans="1:5" x14ac:dyDescent="0.25">
      <c r="A130" t="s">
        <v>178</v>
      </c>
      <c r="E130" s="1">
        <v>1</v>
      </c>
    </row>
    <row r="131" spans="1:5" x14ac:dyDescent="0.25">
      <c r="A131" t="s">
        <v>179</v>
      </c>
      <c r="E131" s="1">
        <v>1</v>
      </c>
    </row>
    <row r="132" spans="1:5" x14ac:dyDescent="0.25">
      <c r="A132" t="s">
        <v>180</v>
      </c>
      <c r="E132" s="1">
        <v>1</v>
      </c>
    </row>
    <row r="133" spans="1:5" x14ac:dyDescent="0.25">
      <c r="A133" t="s">
        <v>181</v>
      </c>
      <c r="E133">
        <v>8</v>
      </c>
    </row>
    <row r="134" spans="1:5" x14ac:dyDescent="0.25">
      <c r="A134" t="s">
        <v>182</v>
      </c>
      <c r="E134">
        <v>3004</v>
      </c>
    </row>
    <row r="135" spans="1:5" x14ac:dyDescent="0.25">
      <c r="A135" t="s">
        <v>183</v>
      </c>
      <c r="E135" s="1">
        <v>1</v>
      </c>
    </row>
    <row r="136" spans="1:5" x14ac:dyDescent="0.25">
      <c r="A136" t="s">
        <v>184</v>
      </c>
      <c r="E136" s="1">
        <v>1</v>
      </c>
    </row>
    <row r="137" spans="1:5" x14ac:dyDescent="0.25">
      <c r="A137" t="s">
        <v>185</v>
      </c>
      <c r="E137">
        <v>1</v>
      </c>
    </row>
    <row r="138" spans="1:5" x14ac:dyDescent="0.25">
      <c r="A138" t="s">
        <v>186</v>
      </c>
      <c r="E138">
        <v>0</v>
      </c>
    </row>
    <row r="139" spans="1:5" x14ac:dyDescent="0.25">
      <c r="A139" t="s">
        <v>187</v>
      </c>
      <c r="E139" s="2">
        <v>41466.456250000003</v>
      </c>
    </row>
    <row r="140" spans="1:5" x14ac:dyDescent="0.25">
      <c r="A140" t="s">
        <v>188</v>
      </c>
      <c r="E140" t="s">
        <v>189</v>
      </c>
    </row>
    <row r="141" spans="1:5" x14ac:dyDescent="0.25">
      <c r="A141" t="s">
        <v>190</v>
      </c>
      <c r="E141" t="s">
        <v>107</v>
      </c>
    </row>
    <row r="143" spans="1:5" x14ac:dyDescent="0.25">
      <c r="A143" t="s">
        <v>191</v>
      </c>
    </row>
    <row r="144" spans="1:5" x14ac:dyDescent="0.25">
      <c r="A144" t="s">
        <v>162</v>
      </c>
      <c r="E144">
        <v>141</v>
      </c>
    </row>
    <row r="145" spans="1:5" x14ac:dyDescent="0.25">
      <c r="A145" t="s">
        <v>192</v>
      </c>
      <c r="E145" t="s">
        <v>193</v>
      </c>
    </row>
    <row r="146" spans="1:5" x14ac:dyDescent="0.25">
      <c r="A146" t="s">
        <v>194</v>
      </c>
      <c r="E146" t="s">
        <v>195</v>
      </c>
    </row>
    <row r="147" spans="1:5" x14ac:dyDescent="0.25">
      <c r="A147" t="s">
        <v>196</v>
      </c>
    </row>
    <row r="148" spans="1:5" x14ac:dyDescent="0.25">
      <c r="A148" t="s">
        <v>187</v>
      </c>
      <c r="E148" t="s">
        <v>197</v>
      </c>
    </row>
    <row r="149" spans="1:5" x14ac:dyDescent="0.25">
      <c r="A149" t="s">
        <v>188</v>
      </c>
      <c r="E149" t="s">
        <v>198</v>
      </c>
    </row>
    <row r="150" spans="1:5" x14ac:dyDescent="0.25">
      <c r="A150" t="s">
        <v>190</v>
      </c>
      <c r="E150" t="s">
        <v>103</v>
      </c>
    </row>
    <row r="152" spans="1:5" x14ac:dyDescent="0.25">
      <c r="A152" t="s">
        <v>199</v>
      </c>
      <c r="E152">
        <v>142</v>
      </c>
    </row>
    <row r="153" spans="1:5" x14ac:dyDescent="0.25">
      <c r="A153" t="s">
        <v>192</v>
      </c>
      <c r="E153" t="s">
        <v>193</v>
      </c>
    </row>
    <row r="154" spans="1:5" x14ac:dyDescent="0.25">
      <c r="A154" t="s">
        <v>194</v>
      </c>
      <c r="E154" t="s">
        <v>200</v>
      </c>
    </row>
    <row r="155" spans="1:5" x14ac:dyDescent="0.25">
      <c r="A155" t="s">
        <v>196</v>
      </c>
    </row>
    <row r="156" spans="1:5" x14ac:dyDescent="0.25">
      <c r="A156" t="s">
        <v>187</v>
      </c>
      <c r="E156" t="s">
        <v>197</v>
      </c>
    </row>
    <row r="157" spans="1:5" x14ac:dyDescent="0.25">
      <c r="A157" t="s">
        <v>188</v>
      </c>
      <c r="E157" t="s">
        <v>198</v>
      </c>
    </row>
    <row r="158" spans="1:5" x14ac:dyDescent="0.25">
      <c r="A158" t="s">
        <v>190</v>
      </c>
      <c r="E158" t="s">
        <v>103</v>
      </c>
    </row>
    <row r="160" spans="1:5" x14ac:dyDescent="0.25">
      <c r="A160" t="s">
        <v>201</v>
      </c>
    </row>
    <row r="161" spans="1:5" x14ac:dyDescent="0.25">
      <c r="A161" t="s">
        <v>202</v>
      </c>
      <c r="E161">
        <v>1041132</v>
      </c>
    </row>
    <row r="162" spans="1:5" x14ac:dyDescent="0.25">
      <c r="A162" t="s">
        <v>203</v>
      </c>
      <c r="E162" t="s">
        <v>189</v>
      </c>
    </row>
    <row r="167" spans="1:5" x14ac:dyDescent="0.25">
      <c r="A167" t="s">
        <v>204</v>
      </c>
    </row>
    <row r="168" spans="1:5" x14ac:dyDescent="0.25">
      <c r="A168" t="s">
        <v>205</v>
      </c>
    </row>
    <row r="169" spans="1:5" x14ac:dyDescent="0.25">
      <c r="A169" t="s">
        <v>206</v>
      </c>
    </row>
    <row r="170" spans="1:5" x14ac:dyDescent="0.25">
      <c r="A170" t="s">
        <v>207</v>
      </c>
    </row>
    <row r="171" spans="1:5" x14ac:dyDescent="0.25">
      <c r="A171" t="s">
        <v>208</v>
      </c>
    </row>
    <row r="175" spans="1:5" x14ac:dyDescent="0.25">
      <c r="A175" t="s">
        <v>209</v>
      </c>
    </row>
  </sheetData>
  <pageMargins left="0.7" right="0.7" top="0.75" bottom="0.75" header="0.3" footer="0.3"/>
  <headerFooter>
    <oddHeader>&amp;R&amp;"Calibri"&amp;11&amp;K000000 TUNI Luottamuksellinen - Confid&amp;1#_x000D_&amp;"Aptos Narrow"&amp;11&amp;K000000&amp;"Aptos Narrow"&amp;11&amp;K000000&amp;"Aptos Narrow"&amp;11&amp;K000000&amp;"Aptos Narrow"&amp;11&amp;K000000&amp;"Aptos Narrow"&amp;11&amp;K000000&amp;"Calibri"&amp;1 &amp;K000000 TUNI Luottamuksellinen - Confidential (3Y)#_x000D_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4"/>
  <sheetViews>
    <sheetView workbookViewId="0"/>
  </sheetViews>
  <sheetFormatPr defaultRowHeight="15" x14ac:dyDescent="0.25"/>
  <cols>
    <col min="1" max="1" width="17" customWidth="1"/>
  </cols>
  <sheetData>
    <row r="1" spans="1:4" x14ac:dyDescent="0.25">
      <c r="A1" s="7" t="s">
        <v>210</v>
      </c>
    </row>
    <row r="2" spans="1:4" x14ac:dyDescent="0.25">
      <c r="B2" s="11" t="s">
        <v>211</v>
      </c>
      <c r="C2" s="11" t="s">
        <v>212</v>
      </c>
      <c r="D2" s="11" t="s">
        <v>213</v>
      </c>
    </row>
    <row r="3" spans="1:4" x14ac:dyDescent="0.25">
      <c r="A3" s="12" t="s">
        <v>214</v>
      </c>
      <c r="B3" s="13">
        <v>59868.75</v>
      </c>
      <c r="C3" s="13">
        <v>29934.375</v>
      </c>
      <c r="D3" s="13">
        <v>3754.435270450138</v>
      </c>
    </row>
    <row r="4" spans="1:4" x14ac:dyDescent="0.25">
      <c r="A4" s="12" t="s">
        <v>215</v>
      </c>
      <c r="B4" s="13">
        <v>3209.375</v>
      </c>
      <c r="D4" s="13">
        <v>4788.8181046356012</v>
      </c>
    </row>
    <row r="6" spans="1:4" x14ac:dyDescent="0.25">
      <c r="A6" s="7" t="s">
        <v>216</v>
      </c>
    </row>
    <row r="7" spans="1:4" x14ac:dyDescent="0.25">
      <c r="B7" s="11" t="s">
        <v>211</v>
      </c>
      <c r="C7" s="11" t="s">
        <v>212</v>
      </c>
      <c r="D7" s="11" t="s">
        <v>213</v>
      </c>
    </row>
    <row r="8" spans="1:4" x14ac:dyDescent="0.25">
      <c r="A8" s="12" t="s">
        <v>214</v>
      </c>
      <c r="B8" s="13" t="s">
        <v>217</v>
      </c>
      <c r="C8" s="13" t="s">
        <v>217</v>
      </c>
      <c r="D8" s="13" t="s">
        <v>217</v>
      </c>
    </row>
    <row r="9" spans="1:4" x14ac:dyDescent="0.25">
      <c r="A9" s="12" t="s">
        <v>215</v>
      </c>
      <c r="B9" s="13" t="s">
        <v>217</v>
      </c>
      <c r="D9" s="13" t="s">
        <v>217</v>
      </c>
    </row>
    <row r="11" spans="1:4" x14ac:dyDescent="0.25">
      <c r="A11" s="7" t="s">
        <v>218</v>
      </c>
    </row>
    <row r="12" spans="1:4" x14ac:dyDescent="0.25">
      <c r="B12" s="11" t="s">
        <v>211</v>
      </c>
      <c r="C12" s="11" t="s">
        <v>212</v>
      </c>
      <c r="D12" s="11" t="s">
        <v>213</v>
      </c>
    </row>
    <row r="13" spans="1:4" x14ac:dyDescent="0.25">
      <c r="A13" s="12" t="s">
        <v>214</v>
      </c>
      <c r="B13" s="13">
        <v>59868.75</v>
      </c>
      <c r="C13" s="13">
        <v>29934.375</v>
      </c>
      <c r="D13" s="13">
        <v>3754.435270450138</v>
      </c>
    </row>
    <row r="14" spans="1:4" x14ac:dyDescent="0.25">
      <c r="A14" s="12" t="s">
        <v>215</v>
      </c>
      <c r="B14" s="13">
        <v>3209.375</v>
      </c>
      <c r="D14" s="13">
        <v>4788.8181046356012</v>
      </c>
    </row>
    <row r="16" spans="1:4" x14ac:dyDescent="0.25">
      <c r="A16" s="7" t="s">
        <v>219</v>
      </c>
    </row>
    <row r="17" spans="1:4" x14ac:dyDescent="0.25">
      <c r="B17" s="11" t="s">
        <v>211</v>
      </c>
      <c r="C17" s="11" t="s">
        <v>212</v>
      </c>
      <c r="D17" s="11" t="s">
        <v>213</v>
      </c>
    </row>
    <row r="18" spans="1:4" x14ac:dyDescent="0.25">
      <c r="A18" s="12" t="s">
        <v>214</v>
      </c>
      <c r="B18" s="13" t="s">
        <v>217</v>
      </c>
      <c r="C18" s="13" t="s">
        <v>217</v>
      </c>
      <c r="D18" s="13" t="s">
        <v>217</v>
      </c>
    </row>
    <row r="19" spans="1:4" x14ac:dyDescent="0.25">
      <c r="A19" s="12" t="s">
        <v>215</v>
      </c>
      <c r="B19" s="13" t="s">
        <v>217</v>
      </c>
      <c r="D19" s="13" t="s">
        <v>217</v>
      </c>
    </row>
    <row r="21" spans="1:4" x14ac:dyDescent="0.25">
      <c r="A21" s="7" t="s">
        <v>220</v>
      </c>
    </row>
    <row r="22" spans="1:4" x14ac:dyDescent="0.25">
      <c r="B22" s="11" t="s">
        <v>211</v>
      </c>
      <c r="C22" s="11" t="s">
        <v>212</v>
      </c>
      <c r="D22" s="11" t="s">
        <v>213</v>
      </c>
    </row>
    <row r="23" spans="1:4" x14ac:dyDescent="0.25">
      <c r="A23" s="12" t="s">
        <v>214</v>
      </c>
      <c r="B23" s="13" t="s">
        <v>217</v>
      </c>
      <c r="C23" s="13" t="s">
        <v>217</v>
      </c>
      <c r="D23" s="13" t="s">
        <v>217</v>
      </c>
    </row>
    <row r="24" spans="1:4" x14ac:dyDescent="0.25">
      <c r="A24" s="12" t="s">
        <v>215</v>
      </c>
      <c r="B24" s="13" t="s">
        <v>217</v>
      </c>
      <c r="D24" s="13" t="s">
        <v>217</v>
      </c>
    </row>
  </sheetData>
  <pageMargins left="0.75" right="0.75" top="1" bottom="1" header="0.5" footer="0.5"/>
  <headerFooter>
    <oddHeader>&amp;R&amp;"Calibri"&amp;11&amp;K000000 TUNI Luottamuksellinen - Confidential (3Y)&amp;1#_x000D_&amp;"Aptos Narrow"&amp;11&amp;K000000&amp;"Aptos Narrow"&amp;11&amp;K000000&amp;"Calibri"&amp;1 &amp;K000000 TUNI Luottamuksellinen - Confidential (3Y)#_x000D_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workbookViewId="0"/>
  </sheetViews>
  <sheetFormatPr defaultRowHeight="15" x14ac:dyDescent="0.25"/>
  <cols>
    <col min="1" max="1" width="9" customWidth="1"/>
  </cols>
  <sheetData>
    <row r="1" spans="1:14" x14ac:dyDescent="0.25">
      <c r="A1" s="7" t="s">
        <v>221</v>
      </c>
      <c r="B1" s="8" t="s">
        <v>222</v>
      </c>
    </row>
    <row r="2" spans="1:14" x14ac:dyDescent="0.25">
      <c r="B2" s="11" t="s">
        <v>211</v>
      </c>
      <c r="C2" s="11" t="s">
        <v>212</v>
      </c>
      <c r="D2" s="11" t="s">
        <v>213</v>
      </c>
    </row>
    <row r="3" spans="1:14" x14ac:dyDescent="0.25">
      <c r="A3" s="12" t="s">
        <v>214</v>
      </c>
      <c r="B3" s="13">
        <v>60062.625</v>
      </c>
      <c r="C3" s="13">
        <v>30031.3125</v>
      </c>
      <c r="D3" s="13">
        <v>2663.878854897765</v>
      </c>
    </row>
    <row r="4" spans="1:14" x14ac:dyDescent="0.25">
      <c r="A4" s="12" t="s">
        <v>215</v>
      </c>
      <c r="B4" s="13">
        <v>6080.25</v>
      </c>
      <c r="D4" s="13">
        <v>5615.2644565208739</v>
      </c>
    </row>
    <row r="6" spans="1:14" x14ac:dyDescent="0.25">
      <c r="B6" s="7" t="s">
        <v>223</v>
      </c>
      <c r="C6" s="8" t="s">
        <v>35</v>
      </c>
    </row>
    <row r="7" spans="1:14" x14ac:dyDescent="0.25">
      <c r="C7" t="s">
        <v>224</v>
      </c>
      <c r="D7" t="s">
        <v>225</v>
      </c>
      <c r="E7" t="s">
        <v>226</v>
      </c>
      <c r="F7" t="s">
        <v>227</v>
      </c>
      <c r="G7" t="s">
        <v>228</v>
      </c>
      <c r="H7" t="s">
        <v>229</v>
      </c>
      <c r="I7" t="s">
        <v>230</v>
      </c>
      <c r="J7" t="s">
        <v>231</v>
      </c>
      <c r="K7" t="s">
        <v>232</v>
      </c>
      <c r="L7" t="s">
        <v>233</v>
      </c>
      <c r="M7" t="s">
        <v>234</v>
      </c>
      <c r="N7" t="s">
        <v>235</v>
      </c>
    </row>
    <row r="8" spans="1:14" x14ac:dyDescent="0.25">
      <c r="B8" t="s">
        <v>67</v>
      </c>
      <c r="C8">
        <v>56634</v>
      </c>
      <c r="D8">
        <v>57830</v>
      </c>
      <c r="E8">
        <v>40671</v>
      </c>
      <c r="F8">
        <v>45291</v>
      </c>
      <c r="G8">
        <v>48737</v>
      </c>
      <c r="H8">
        <v>50198</v>
      </c>
      <c r="I8">
        <v>48086</v>
      </c>
      <c r="J8">
        <v>25605</v>
      </c>
      <c r="K8">
        <v>44359</v>
      </c>
      <c r="L8">
        <v>16257</v>
      </c>
      <c r="M8">
        <v>6595</v>
      </c>
      <c r="N8">
        <v>14006</v>
      </c>
    </row>
    <row r="9" spans="1:14" x14ac:dyDescent="0.25">
      <c r="B9" t="s">
        <v>69</v>
      </c>
      <c r="C9">
        <v>63977</v>
      </c>
      <c r="D9">
        <v>59715</v>
      </c>
      <c r="E9">
        <v>40647</v>
      </c>
      <c r="F9">
        <v>48555</v>
      </c>
      <c r="G9">
        <v>51431</v>
      </c>
      <c r="H9">
        <v>51772</v>
      </c>
      <c r="I9">
        <v>50165</v>
      </c>
      <c r="J9">
        <v>34536</v>
      </c>
      <c r="K9">
        <v>54213</v>
      </c>
      <c r="L9">
        <v>5925</v>
      </c>
      <c r="M9">
        <v>2630</v>
      </c>
      <c r="N9">
        <v>5958</v>
      </c>
    </row>
    <row r="10" spans="1:14" x14ac:dyDescent="0.25">
      <c r="B10" t="s">
        <v>71</v>
      </c>
      <c r="C10">
        <v>63637</v>
      </c>
      <c r="D10">
        <v>58470</v>
      </c>
      <c r="E10">
        <v>39638</v>
      </c>
      <c r="F10">
        <v>43681</v>
      </c>
      <c r="G10">
        <v>45021</v>
      </c>
      <c r="H10">
        <v>46222</v>
      </c>
      <c r="I10">
        <v>7021</v>
      </c>
      <c r="J10">
        <v>7414</v>
      </c>
      <c r="K10">
        <v>3489</v>
      </c>
      <c r="L10">
        <v>3015</v>
      </c>
      <c r="M10">
        <v>1109</v>
      </c>
      <c r="N10">
        <v>2989</v>
      </c>
    </row>
    <row r="11" spans="1:14" x14ac:dyDescent="0.25">
      <c r="B11" t="s">
        <v>73</v>
      </c>
      <c r="C11">
        <v>61161</v>
      </c>
      <c r="D11">
        <v>59077</v>
      </c>
      <c r="E11">
        <v>38730</v>
      </c>
      <c r="F11">
        <v>48487</v>
      </c>
      <c r="G11">
        <v>46538</v>
      </c>
      <c r="H11">
        <v>40328</v>
      </c>
      <c r="I11">
        <v>17114</v>
      </c>
      <c r="J11">
        <v>4600</v>
      </c>
      <c r="K11">
        <v>2256</v>
      </c>
      <c r="L11">
        <v>2313</v>
      </c>
      <c r="M11">
        <v>2168</v>
      </c>
      <c r="N11">
        <v>1368</v>
      </c>
    </row>
    <row r="14" spans="1:14" x14ac:dyDescent="0.25">
      <c r="B14" s="7" t="s">
        <v>236</v>
      </c>
      <c r="C14" s="23" t="s">
        <v>35</v>
      </c>
      <c r="D14" s="22"/>
      <c r="E14" s="22"/>
      <c r="F14" s="22"/>
    </row>
    <row r="15" spans="1:14" x14ac:dyDescent="0.25">
      <c r="B15" s="14">
        <v>16</v>
      </c>
      <c r="C15" s="5">
        <v>40671</v>
      </c>
      <c r="D15" s="5">
        <v>40647</v>
      </c>
      <c r="E15" s="14">
        <v>39638</v>
      </c>
      <c r="F15" s="14">
        <v>38730</v>
      </c>
    </row>
    <row r="16" spans="1:14" x14ac:dyDescent="0.25">
      <c r="B16" s="14">
        <v>32</v>
      </c>
      <c r="C16" s="5">
        <v>45291</v>
      </c>
      <c r="D16" s="5">
        <v>48555</v>
      </c>
      <c r="E16" s="14">
        <v>43681</v>
      </c>
      <c r="F16" s="14">
        <v>48487</v>
      </c>
    </row>
    <row r="17" spans="2:6" x14ac:dyDescent="0.25">
      <c r="B17" s="14">
        <v>64</v>
      </c>
      <c r="C17" s="5">
        <v>48737</v>
      </c>
      <c r="D17" s="5">
        <v>51431</v>
      </c>
      <c r="E17" s="14">
        <v>45021</v>
      </c>
      <c r="F17" s="14">
        <v>46538</v>
      </c>
    </row>
    <row r="18" spans="2:6" x14ac:dyDescent="0.25">
      <c r="B18" s="14">
        <v>128</v>
      </c>
      <c r="C18" s="5">
        <v>50198</v>
      </c>
      <c r="D18" s="5">
        <v>51772</v>
      </c>
      <c r="E18" s="14">
        <v>46222</v>
      </c>
      <c r="F18" s="14">
        <v>40328</v>
      </c>
    </row>
    <row r="19" spans="2:6" x14ac:dyDescent="0.25">
      <c r="B19" s="14">
        <v>256</v>
      </c>
      <c r="C19" s="5">
        <v>48086</v>
      </c>
      <c r="D19" s="5">
        <v>50165</v>
      </c>
      <c r="E19" s="14">
        <v>7021</v>
      </c>
      <c r="F19" s="14">
        <v>17114</v>
      </c>
    </row>
    <row r="20" spans="2:6" x14ac:dyDescent="0.25">
      <c r="B20" s="14">
        <v>512</v>
      </c>
      <c r="C20" s="5">
        <v>25605</v>
      </c>
      <c r="D20" s="5">
        <v>34536</v>
      </c>
      <c r="E20" s="14">
        <v>7414</v>
      </c>
      <c r="F20" s="14">
        <v>4600</v>
      </c>
    </row>
    <row r="21" spans="2:6" x14ac:dyDescent="0.25">
      <c r="B21" s="14">
        <v>1024</v>
      </c>
      <c r="C21" s="5">
        <v>44359</v>
      </c>
      <c r="D21" s="5">
        <v>54213</v>
      </c>
      <c r="E21" s="14">
        <v>3489</v>
      </c>
      <c r="F21" s="14">
        <v>2256</v>
      </c>
    </row>
    <row r="22" spans="2:6" x14ac:dyDescent="0.25">
      <c r="B22" s="14">
        <v>2048</v>
      </c>
      <c r="C22" s="5">
        <v>16257</v>
      </c>
      <c r="D22" s="5">
        <v>5925</v>
      </c>
      <c r="E22" s="14">
        <v>3015</v>
      </c>
      <c r="F22" s="14">
        <v>2313</v>
      </c>
    </row>
    <row r="23" spans="2:6" x14ac:dyDescent="0.25">
      <c r="B23" s="14">
        <v>4096</v>
      </c>
      <c r="C23" s="5">
        <v>6595</v>
      </c>
      <c r="D23" s="5">
        <v>2630</v>
      </c>
      <c r="E23" s="14">
        <v>1109</v>
      </c>
      <c r="F23" s="14">
        <v>2168</v>
      </c>
    </row>
    <row r="26" spans="2:6" x14ac:dyDescent="0.25">
      <c r="B26" s="21" t="s">
        <v>237</v>
      </c>
      <c r="C26" s="22"/>
    </row>
    <row r="27" spans="2:6" x14ac:dyDescent="0.25">
      <c r="B27" s="7" t="s">
        <v>236</v>
      </c>
      <c r="C27" s="8" t="s">
        <v>35</v>
      </c>
    </row>
    <row r="28" spans="2:6" x14ac:dyDescent="0.25">
      <c r="B28" s="14">
        <v>16</v>
      </c>
      <c r="C28" s="15">
        <v>39921.5</v>
      </c>
    </row>
    <row r="29" spans="2:6" x14ac:dyDescent="0.25">
      <c r="B29" s="14">
        <v>32</v>
      </c>
      <c r="C29" s="15">
        <v>46503.5</v>
      </c>
    </row>
    <row r="30" spans="2:6" x14ac:dyDescent="0.25">
      <c r="B30" s="14">
        <v>64</v>
      </c>
      <c r="C30" s="15">
        <v>47931.75</v>
      </c>
    </row>
    <row r="31" spans="2:6" x14ac:dyDescent="0.25">
      <c r="B31" s="14">
        <v>128</v>
      </c>
      <c r="C31" s="15">
        <v>47130</v>
      </c>
    </row>
    <row r="32" spans="2:6" x14ac:dyDescent="0.25">
      <c r="B32" s="14">
        <v>256</v>
      </c>
      <c r="C32" s="15">
        <v>30596.5</v>
      </c>
    </row>
    <row r="33" spans="2:3" x14ac:dyDescent="0.25">
      <c r="B33" s="14">
        <v>512</v>
      </c>
      <c r="C33" s="15">
        <v>18038.75</v>
      </c>
    </row>
    <row r="34" spans="2:3" x14ac:dyDescent="0.25">
      <c r="B34" s="14">
        <v>1024</v>
      </c>
      <c r="C34" s="15">
        <v>26079.25</v>
      </c>
    </row>
    <row r="35" spans="2:3" x14ac:dyDescent="0.25">
      <c r="B35" s="14">
        <v>2048</v>
      </c>
      <c r="C35" s="15">
        <v>6877.5</v>
      </c>
    </row>
    <row r="36" spans="2:3" x14ac:dyDescent="0.25">
      <c r="B36" s="14">
        <v>4096</v>
      </c>
      <c r="C36" s="15">
        <v>3125.5</v>
      </c>
    </row>
    <row r="39" spans="2:3" x14ac:dyDescent="0.25">
      <c r="B39" s="21" t="s">
        <v>238</v>
      </c>
      <c r="C39" s="22"/>
    </row>
    <row r="40" spans="2:3" x14ac:dyDescent="0.25">
      <c r="B40" s="7" t="s">
        <v>34</v>
      </c>
      <c r="C40" s="8" t="s">
        <v>35</v>
      </c>
    </row>
    <row r="41" spans="2:3" x14ac:dyDescent="0.25">
      <c r="B41" s="9">
        <v>1.204119982655925</v>
      </c>
      <c r="C41" s="10">
        <v>62.689442619002953</v>
      </c>
    </row>
    <row r="42" spans="2:3" x14ac:dyDescent="0.25">
      <c r="B42" s="9">
        <v>1.505149978319906</v>
      </c>
      <c r="C42" s="10">
        <v>74.882311124695789</v>
      </c>
    </row>
    <row r="43" spans="2:3" x14ac:dyDescent="0.25">
      <c r="B43" s="9">
        <v>1.8061799739838871</v>
      </c>
      <c r="C43" s="10">
        <v>77.528082082346316</v>
      </c>
    </row>
    <row r="44" spans="2:3" x14ac:dyDescent="0.25">
      <c r="B44" s="9">
        <v>2.1072099696478679</v>
      </c>
      <c r="C44" s="10">
        <v>76.042875105069001</v>
      </c>
    </row>
    <row r="45" spans="2:3" x14ac:dyDescent="0.25">
      <c r="B45" s="9">
        <v>2.40823996531185</v>
      </c>
      <c r="C45" s="10">
        <v>45.415286007701582</v>
      </c>
    </row>
    <row r="46" spans="2:3" x14ac:dyDescent="0.25">
      <c r="B46" s="9">
        <v>2.7092699609758308</v>
      </c>
      <c r="C46" s="10">
        <v>22.152600733109651</v>
      </c>
    </row>
    <row r="47" spans="2:3" x14ac:dyDescent="0.25">
      <c r="B47" s="9">
        <v>3.0102999566398121</v>
      </c>
      <c r="C47" s="10">
        <v>37.047277004763131</v>
      </c>
    </row>
    <row r="48" spans="2:3" x14ac:dyDescent="0.25">
      <c r="B48" s="9">
        <v>3.3113299523037929</v>
      </c>
      <c r="C48" s="10">
        <v>1.476870923148528</v>
      </c>
    </row>
    <row r="49" spans="2:3" x14ac:dyDescent="0.25">
      <c r="B49" s="9">
        <v>3.6123599479677742</v>
      </c>
      <c r="C49" s="10">
        <v>-5.4735457637793816</v>
      </c>
    </row>
  </sheetData>
  <mergeCells count="3">
    <mergeCell ref="B39:C39"/>
    <mergeCell ref="C14:F14"/>
    <mergeCell ref="B26:C26"/>
  </mergeCells>
  <pageMargins left="0.75" right="0.75" top="1" bottom="1" header="0.5" footer="0.5"/>
  <headerFooter>
    <oddHeader>&amp;R&amp;"Calibri"&amp;11&amp;K000000 TUNI Luottamuksellinen - Confidential (3Y)&amp;1#_x000D_&amp;"Aptos Narrow"&amp;11&amp;K000000&amp;"Aptos Narrow"&amp;11&amp;K000000&amp;"Calibri"&amp;1 &amp;K000000 TUNI Luottamuksellinen - Confidential (3Y)#_x000D_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9"/>
  <sheetViews>
    <sheetView workbookViewId="0"/>
  </sheetViews>
  <sheetFormatPr defaultRowHeight="15" x14ac:dyDescent="0.25"/>
  <cols>
    <col min="1" max="1" width="9" customWidth="1"/>
  </cols>
  <sheetData>
    <row r="1" spans="1:14" x14ac:dyDescent="0.25">
      <c r="A1" s="7" t="s">
        <v>239</v>
      </c>
      <c r="B1" s="8" t="s">
        <v>222</v>
      </c>
    </row>
    <row r="2" spans="1:14" x14ac:dyDescent="0.25">
      <c r="B2" s="11" t="s">
        <v>211</v>
      </c>
      <c r="C2" s="11" t="s">
        <v>212</v>
      </c>
      <c r="D2" s="11" t="s">
        <v>213</v>
      </c>
    </row>
    <row r="3" spans="1:14" x14ac:dyDescent="0.25">
      <c r="A3" s="12" t="s">
        <v>214</v>
      </c>
      <c r="B3" s="13">
        <v>59674.875</v>
      </c>
      <c r="C3" s="13">
        <v>29837.4375</v>
      </c>
      <c r="D3" s="13">
        <v>4798.2379038708423</v>
      </c>
    </row>
    <row r="4" spans="1:14" x14ac:dyDescent="0.25">
      <c r="A4" s="12" t="s">
        <v>215</v>
      </c>
      <c r="B4" s="13">
        <v>338.5</v>
      </c>
      <c r="D4" s="13">
        <v>12.662279942148389</v>
      </c>
    </row>
    <row r="6" spans="1:14" x14ac:dyDescent="0.25">
      <c r="B6" s="7" t="s">
        <v>223</v>
      </c>
      <c r="C6" s="8" t="s">
        <v>37</v>
      </c>
    </row>
    <row r="7" spans="1:14" x14ac:dyDescent="0.25">
      <c r="C7" t="s">
        <v>224</v>
      </c>
      <c r="D7" t="s">
        <v>225</v>
      </c>
      <c r="E7" t="s">
        <v>226</v>
      </c>
      <c r="F7" t="s">
        <v>227</v>
      </c>
      <c r="G7" t="s">
        <v>228</v>
      </c>
      <c r="H7" t="s">
        <v>229</v>
      </c>
      <c r="I7" t="s">
        <v>230</v>
      </c>
      <c r="J7" t="s">
        <v>231</v>
      </c>
      <c r="K7" t="s">
        <v>232</v>
      </c>
      <c r="L7" t="s">
        <v>233</v>
      </c>
      <c r="M7" t="s">
        <v>234</v>
      </c>
      <c r="N7" t="s">
        <v>235</v>
      </c>
    </row>
    <row r="8" spans="1:14" x14ac:dyDescent="0.25">
      <c r="B8" t="s">
        <v>75</v>
      </c>
      <c r="C8">
        <v>69023</v>
      </c>
      <c r="D8">
        <v>60203</v>
      </c>
      <c r="E8">
        <v>3075</v>
      </c>
      <c r="F8">
        <v>1082</v>
      </c>
      <c r="G8">
        <v>655</v>
      </c>
      <c r="H8">
        <v>773</v>
      </c>
      <c r="I8">
        <v>527</v>
      </c>
      <c r="J8">
        <v>402</v>
      </c>
      <c r="K8">
        <v>437</v>
      </c>
      <c r="L8">
        <v>523</v>
      </c>
      <c r="M8">
        <v>437</v>
      </c>
      <c r="N8">
        <v>326</v>
      </c>
    </row>
    <row r="9" spans="1:14" x14ac:dyDescent="0.25">
      <c r="B9" t="s">
        <v>77</v>
      </c>
      <c r="C9">
        <v>64610</v>
      </c>
      <c r="D9">
        <v>55986</v>
      </c>
      <c r="E9">
        <v>4421</v>
      </c>
      <c r="F9">
        <v>802</v>
      </c>
      <c r="G9">
        <v>1244</v>
      </c>
      <c r="H9">
        <v>506</v>
      </c>
      <c r="I9">
        <v>571</v>
      </c>
      <c r="J9">
        <v>411</v>
      </c>
      <c r="K9">
        <v>442</v>
      </c>
      <c r="L9">
        <v>398</v>
      </c>
      <c r="M9">
        <v>431</v>
      </c>
      <c r="N9">
        <v>330</v>
      </c>
    </row>
    <row r="10" spans="1:14" x14ac:dyDescent="0.25">
      <c r="B10" t="s">
        <v>79</v>
      </c>
      <c r="C10">
        <v>57206</v>
      </c>
      <c r="D10">
        <v>58488</v>
      </c>
      <c r="E10">
        <v>14689</v>
      </c>
      <c r="F10">
        <v>727</v>
      </c>
      <c r="G10">
        <v>2891</v>
      </c>
      <c r="H10">
        <v>561</v>
      </c>
      <c r="I10">
        <v>448</v>
      </c>
      <c r="J10">
        <v>481</v>
      </c>
      <c r="K10">
        <v>476</v>
      </c>
      <c r="L10">
        <v>407</v>
      </c>
      <c r="M10">
        <v>417</v>
      </c>
      <c r="N10">
        <v>345</v>
      </c>
    </row>
    <row r="11" spans="1:14" x14ac:dyDescent="0.25">
      <c r="B11" t="s">
        <v>81</v>
      </c>
      <c r="C11">
        <v>55666</v>
      </c>
      <c r="D11">
        <v>56217</v>
      </c>
      <c r="E11">
        <v>16519</v>
      </c>
      <c r="F11">
        <v>1930</v>
      </c>
      <c r="G11">
        <v>1144</v>
      </c>
      <c r="H11">
        <v>498</v>
      </c>
      <c r="I11">
        <v>381</v>
      </c>
      <c r="J11">
        <v>362</v>
      </c>
      <c r="K11">
        <v>332</v>
      </c>
      <c r="L11">
        <v>395</v>
      </c>
      <c r="M11">
        <v>356</v>
      </c>
      <c r="N11">
        <v>353</v>
      </c>
    </row>
    <row r="14" spans="1:14" x14ac:dyDescent="0.25">
      <c r="B14" s="7" t="s">
        <v>236</v>
      </c>
      <c r="C14" s="23" t="s">
        <v>37</v>
      </c>
      <c r="D14" s="22"/>
      <c r="E14" s="22"/>
      <c r="F14" s="22"/>
    </row>
    <row r="15" spans="1:14" x14ac:dyDescent="0.25">
      <c r="B15" s="14">
        <v>16</v>
      </c>
      <c r="C15" s="5">
        <v>3075</v>
      </c>
      <c r="D15" s="5">
        <v>4421</v>
      </c>
      <c r="E15" s="14">
        <v>14689</v>
      </c>
      <c r="F15" s="14">
        <v>16519</v>
      </c>
    </row>
    <row r="16" spans="1:14" x14ac:dyDescent="0.25">
      <c r="B16" s="14">
        <v>32</v>
      </c>
      <c r="C16" s="5">
        <v>1082</v>
      </c>
      <c r="D16" s="5">
        <v>802</v>
      </c>
      <c r="E16" s="14">
        <v>727</v>
      </c>
      <c r="F16" s="14">
        <v>1930</v>
      </c>
    </row>
    <row r="17" spans="2:6" x14ac:dyDescent="0.25">
      <c r="B17" s="14">
        <v>64</v>
      </c>
      <c r="C17" s="5">
        <v>655</v>
      </c>
      <c r="D17" s="5">
        <v>1244</v>
      </c>
      <c r="E17" s="14">
        <v>2891</v>
      </c>
      <c r="F17" s="14">
        <v>1144</v>
      </c>
    </row>
    <row r="18" spans="2:6" x14ac:dyDescent="0.25">
      <c r="B18" s="14">
        <v>128</v>
      </c>
      <c r="C18" s="5">
        <v>773</v>
      </c>
      <c r="D18" s="5">
        <v>506</v>
      </c>
      <c r="E18" s="14">
        <v>561</v>
      </c>
      <c r="F18" s="14">
        <v>498</v>
      </c>
    </row>
    <row r="19" spans="2:6" x14ac:dyDescent="0.25">
      <c r="B19" s="14">
        <v>256</v>
      </c>
      <c r="C19" s="5">
        <v>527</v>
      </c>
      <c r="D19" s="5">
        <v>571</v>
      </c>
      <c r="E19" s="14">
        <v>448</v>
      </c>
      <c r="F19" s="14">
        <v>381</v>
      </c>
    </row>
    <row r="20" spans="2:6" x14ac:dyDescent="0.25">
      <c r="B20" s="14">
        <v>512</v>
      </c>
      <c r="C20" s="5">
        <v>402</v>
      </c>
      <c r="D20" s="5">
        <v>411</v>
      </c>
      <c r="E20" s="14">
        <v>481</v>
      </c>
      <c r="F20" s="14">
        <v>362</v>
      </c>
    </row>
    <row r="21" spans="2:6" x14ac:dyDescent="0.25">
      <c r="B21" s="14">
        <v>1024</v>
      </c>
      <c r="C21" s="5">
        <v>437</v>
      </c>
      <c r="D21" s="5">
        <v>442</v>
      </c>
      <c r="E21" s="14">
        <v>476</v>
      </c>
      <c r="F21" s="14">
        <v>332</v>
      </c>
    </row>
    <row r="22" spans="2:6" x14ac:dyDescent="0.25">
      <c r="B22" s="14">
        <v>2048</v>
      </c>
      <c r="C22" s="5">
        <v>523</v>
      </c>
      <c r="D22" s="5">
        <v>398</v>
      </c>
      <c r="E22" s="14">
        <v>407</v>
      </c>
      <c r="F22" s="14">
        <v>395</v>
      </c>
    </row>
    <row r="23" spans="2:6" x14ac:dyDescent="0.25">
      <c r="B23" s="14">
        <v>4096</v>
      </c>
      <c r="C23" s="5">
        <v>437</v>
      </c>
      <c r="D23" s="5">
        <v>431</v>
      </c>
      <c r="E23" s="14">
        <v>417</v>
      </c>
      <c r="F23" s="14">
        <v>356</v>
      </c>
    </row>
    <row r="26" spans="2:6" x14ac:dyDescent="0.25">
      <c r="B26" s="21" t="s">
        <v>237</v>
      </c>
      <c r="C26" s="22"/>
    </row>
    <row r="27" spans="2:6" x14ac:dyDescent="0.25">
      <c r="B27" s="7" t="s">
        <v>236</v>
      </c>
      <c r="C27" s="8" t="s">
        <v>37</v>
      </c>
    </row>
    <row r="28" spans="2:6" x14ac:dyDescent="0.25">
      <c r="B28" s="14">
        <v>16</v>
      </c>
      <c r="C28" s="15">
        <v>9676</v>
      </c>
    </row>
    <row r="29" spans="2:6" x14ac:dyDescent="0.25">
      <c r="B29" s="14">
        <v>32</v>
      </c>
      <c r="C29" s="15">
        <v>1135.25</v>
      </c>
    </row>
    <row r="30" spans="2:6" x14ac:dyDescent="0.25">
      <c r="B30" s="14">
        <v>64</v>
      </c>
      <c r="C30" s="15">
        <v>1483.5</v>
      </c>
    </row>
    <row r="31" spans="2:6" x14ac:dyDescent="0.25">
      <c r="B31" s="14">
        <v>128</v>
      </c>
      <c r="C31" s="15">
        <v>584.5</v>
      </c>
    </row>
    <row r="32" spans="2:6" x14ac:dyDescent="0.25">
      <c r="B32" s="14">
        <v>256</v>
      </c>
      <c r="C32" s="15">
        <v>481.75</v>
      </c>
    </row>
    <row r="33" spans="2:3" x14ac:dyDescent="0.25">
      <c r="B33" s="14">
        <v>512</v>
      </c>
      <c r="C33" s="15">
        <v>414</v>
      </c>
    </row>
    <row r="34" spans="2:3" x14ac:dyDescent="0.25">
      <c r="B34" s="14">
        <v>1024</v>
      </c>
      <c r="C34" s="15">
        <v>421.75</v>
      </c>
    </row>
    <row r="35" spans="2:3" x14ac:dyDescent="0.25">
      <c r="B35" s="14">
        <v>2048</v>
      </c>
      <c r="C35" s="15">
        <v>430.75</v>
      </c>
    </row>
    <row r="36" spans="2:3" x14ac:dyDescent="0.25">
      <c r="B36" s="14">
        <v>4096</v>
      </c>
      <c r="C36" s="15">
        <v>410.25</v>
      </c>
    </row>
    <row r="39" spans="2:3" x14ac:dyDescent="0.25">
      <c r="B39" s="21" t="s">
        <v>238</v>
      </c>
      <c r="C39" s="22"/>
    </row>
    <row r="40" spans="2:3" x14ac:dyDescent="0.25">
      <c r="B40" s="7" t="s">
        <v>34</v>
      </c>
      <c r="C40" s="8" t="s">
        <v>37</v>
      </c>
    </row>
    <row r="41" spans="2:3" x14ac:dyDescent="0.25">
      <c r="B41" s="9">
        <v>1.204119982655925</v>
      </c>
      <c r="C41" s="10">
        <v>15.736552831210201</v>
      </c>
    </row>
    <row r="42" spans="2:3" x14ac:dyDescent="0.25">
      <c r="B42" s="9">
        <v>1.505149978319906</v>
      </c>
      <c r="C42" s="10">
        <v>1.3427682429201311</v>
      </c>
    </row>
    <row r="43" spans="2:3" x14ac:dyDescent="0.25">
      <c r="B43" s="9">
        <v>1.8061799739838871</v>
      </c>
      <c r="C43" s="10">
        <v>1.9296763578833389</v>
      </c>
    </row>
    <row r="44" spans="2:3" x14ac:dyDescent="0.25">
      <c r="B44" s="9">
        <v>2.1072099696478679</v>
      </c>
      <c r="C44" s="10">
        <v>0.41458548824393132</v>
      </c>
    </row>
    <row r="45" spans="2:3" x14ac:dyDescent="0.25">
      <c r="B45" s="9">
        <v>2.40823996531185</v>
      </c>
      <c r="C45" s="10">
        <v>0.24142020809326489</v>
      </c>
    </row>
    <row r="46" spans="2:3" x14ac:dyDescent="0.25">
      <c r="B46" s="9">
        <v>2.7092699609758308</v>
      </c>
      <c r="C46" s="10">
        <v>0.12724066813990581</v>
      </c>
    </row>
    <row r="47" spans="2:3" x14ac:dyDescent="0.25">
      <c r="B47" s="9">
        <v>3.0102999566398121</v>
      </c>
      <c r="C47" s="10">
        <v>0.1403017963264524</v>
      </c>
    </row>
    <row r="48" spans="2:3" x14ac:dyDescent="0.25">
      <c r="B48" s="9">
        <v>3.3113299523037929</v>
      </c>
      <c r="C48" s="10">
        <v>0.1554695580914742</v>
      </c>
    </row>
    <row r="49" spans="2:3" x14ac:dyDescent="0.25">
      <c r="B49" s="9">
        <v>3.6123599479677742</v>
      </c>
      <c r="C49" s="10">
        <v>0.12092076740448</v>
      </c>
    </row>
  </sheetData>
  <mergeCells count="3">
    <mergeCell ref="B39:C39"/>
    <mergeCell ref="C14:F14"/>
    <mergeCell ref="B26:C26"/>
  </mergeCells>
  <pageMargins left="0.75" right="0.75" top="1" bottom="1" header="0.5" footer="0.5"/>
  <headerFooter>
    <oddHeader>&amp;R&amp;"Calibri"&amp;11&amp;K000000 TUNI Luottamuksellinen - Confidential (3Y)&amp;1#_x000D_&amp;"Aptos Narrow"&amp;11&amp;K000000&amp;"Aptos Narrow"&amp;11&amp;K000000&amp;"Calibri"&amp;1 &amp;K000000 TUNI Luottamuksellinen - Confidential (3Y)#_x000D_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Q17" sqref="Q17"/>
    </sheetView>
  </sheetViews>
  <sheetFormatPr defaultRowHeight="15" x14ac:dyDescent="0.25"/>
  <cols>
    <col min="1" max="1" width="16" customWidth="1"/>
    <col min="2" max="2" width="21" customWidth="1"/>
  </cols>
  <sheetData>
    <row r="1" spans="1:2" x14ac:dyDescent="0.25">
      <c r="A1" s="24" t="s">
        <v>33</v>
      </c>
      <c r="B1" s="22"/>
    </row>
    <row r="2" spans="1:2" x14ac:dyDescent="0.25">
      <c r="A2" s="16" t="s">
        <v>240</v>
      </c>
      <c r="B2" s="5" t="s">
        <v>35</v>
      </c>
    </row>
    <row r="3" spans="1:2" x14ac:dyDescent="0.25">
      <c r="A3" s="16" t="s">
        <v>222</v>
      </c>
      <c r="B3" s="10">
        <v>197.37035323727369</v>
      </c>
    </row>
    <row r="4" spans="1:2" x14ac:dyDescent="0.25">
      <c r="A4" s="16" t="s">
        <v>241</v>
      </c>
      <c r="B4" s="10">
        <v>2.295281918382194</v>
      </c>
    </row>
    <row r="5" spans="1:2" x14ac:dyDescent="0.25">
      <c r="A5" s="16" t="s">
        <v>242</v>
      </c>
      <c r="B5" s="10">
        <v>-0.77256394009348328</v>
      </c>
    </row>
    <row r="7" spans="1:2" x14ac:dyDescent="0.25">
      <c r="A7" s="24" t="s">
        <v>36</v>
      </c>
      <c r="B7" s="22"/>
    </row>
    <row r="8" spans="1:2" x14ac:dyDescent="0.25">
      <c r="A8" s="16" t="s">
        <v>240</v>
      </c>
      <c r="B8" s="5" t="s">
        <v>37</v>
      </c>
    </row>
    <row r="9" spans="1:2" x14ac:dyDescent="0.25">
      <c r="A9" s="16" t="s">
        <v>222</v>
      </c>
      <c r="B9" s="10">
        <v>9.8161026958289703</v>
      </c>
    </row>
    <row r="10" spans="1:2" x14ac:dyDescent="0.25">
      <c r="A10" s="16" t="s">
        <v>241</v>
      </c>
      <c r="B10" s="10">
        <v>0.99193909332108032</v>
      </c>
    </row>
    <row r="11" spans="1:2" x14ac:dyDescent="0.25">
      <c r="A11" s="16" t="s">
        <v>242</v>
      </c>
      <c r="B11" s="10">
        <v>-3.4378908334418381</v>
      </c>
    </row>
  </sheetData>
  <mergeCells count="2">
    <mergeCell ref="A1:B1"/>
    <mergeCell ref="A7:B7"/>
  </mergeCells>
  <pageMargins left="0.75" right="0.75" top="1" bottom="1" header="0.5" footer="0.5"/>
  <headerFooter>
    <oddHeader>&amp;R&amp;"Calibri"&amp;11&amp;K000000 TUNI Luottamuksellinen - Confidential (3Y)&amp;1#_x000D_&amp;"Aptos Narrow"&amp;11&amp;K000000&amp;"Calibri"&amp;1 &amp;K000000 TUNI Luottamuksellinen - Confidential (3Y)#_x000D_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5" x14ac:dyDescent="0.25"/>
  <cols>
    <col min="1" max="1" width="34" customWidth="1"/>
    <col min="2" max="2" width="9" customWidth="1"/>
    <col min="3" max="3" width="14" customWidth="1"/>
  </cols>
  <sheetData>
    <row r="1" spans="1:3" x14ac:dyDescent="0.25">
      <c r="A1" s="18" t="s">
        <v>243</v>
      </c>
    </row>
    <row r="2" spans="1:3" x14ac:dyDescent="0.25">
      <c r="A2" s="19" t="s">
        <v>244</v>
      </c>
      <c r="B2" s="20" t="s">
        <v>245</v>
      </c>
      <c r="C2" s="20" t="s">
        <v>246</v>
      </c>
    </row>
    <row r="3" spans="1:3" x14ac:dyDescent="0.25">
      <c r="A3" s="14" t="s">
        <v>247</v>
      </c>
      <c r="B3" s="10">
        <v>1</v>
      </c>
      <c r="C3" s="5" t="s">
        <v>248</v>
      </c>
    </row>
  </sheetData>
  <pageMargins left="0.75" right="0.75" top="1" bottom="1" header="0.5" footer="0.5"/>
  <headerFooter>
    <oddHeader>&amp;R&amp;"Calibri"&amp;11&amp;K000000 TUNI Luottamuksellinen - Confidential (3Y)&amp;1#_x000D_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0336683-2dd7-41cc-81b9-e80359f27e17">
      <Terms xmlns="http://schemas.microsoft.com/office/infopath/2007/PartnerControls"/>
    </lcf76f155ced4ddcb4097134ff3c332f>
    <TaxCatchAll xmlns="fa612793-f91f-4de3-98ba-0e3886ad2ae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7DA93D2F6588498338D64742355231" ma:contentTypeVersion="13" ma:contentTypeDescription="Create a new document." ma:contentTypeScope="" ma:versionID="d7e5843322f6d28532b5c71856bb4ea1">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c6032dc67ad2b19398f403bcf7288e31"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E30B5F-5C8C-4151-9B41-D6A21C211F54}">
  <ds:schemaRefs>
    <ds:schemaRef ds:uri="http://schemas.microsoft.com/office/2006/metadata/properties"/>
    <ds:schemaRef ds:uri="http://schemas.microsoft.com/office/infopath/2007/PartnerControls"/>
    <ds:schemaRef ds:uri="c0336683-2dd7-41cc-81b9-e80359f27e17"/>
    <ds:schemaRef ds:uri="fa612793-f91f-4de3-98ba-0e3886ad2ae2"/>
    <ds:schemaRef ds:uri="http://schemas.microsoft.com/sharepoint/v3"/>
  </ds:schemaRefs>
</ds:datastoreItem>
</file>

<file path=customXml/itemProps2.xml><?xml version="1.0" encoding="utf-8"?>
<ds:datastoreItem xmlns:ds="http://schemas.openxmlformats.org/officeDocument/2006/customXml" ds:itemID="{599070D1-0ED9-4C7D-AAFE-D7D9F91D54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336683-2dd7-41cc-81b9-e80359f27e17"/>
    <ds:schemaRef ds:uri="fa612793-f91f-4de3-98ba-0e3886ad2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DE2F4E-1493-43BD-B13B-7CB082B23DB9}">
  <ds:schemaRefs>
    <ds:schemaRef ds:uri="http://schemas.microsoft.com/sharepoint/v3/contenttype/forms"/>
  </ds:schemaRefs>
</ds:datastoreItem>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SCR_group_EXPORT</vt:lpstr>
      <vt:lpstr>Test DORA</vt:lpstr>
      <vt:lpstr>SCR_plate_STATISTICS</vt:lpstr>
      <vt:lpstr>SCR_group-1_STATISTICS</vt:lpstr>
      <vt:lpstr>SCR_group-2_STATISTICS</vt:lpstr>
      <vt:lpstr>SCR_ic50_RESULTS</vt:lpstr>
      <vt:lpstr>SCR_mw_TEST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Henna-Maarit Kyröläinen (TAU)</dc:creator>
  <cp:lastModifiedBy>Henna-Maarit Kyröläinen (TAU)</cp:lastModifiedBy>
  <dcterms:created xsi:type="dcterms:W3CDTF">2025-06-18T09:42:14Z</dcterms:created>
  <dcterms:modified xsi:type="dcterms:W3CDTF">2025-08-27T12:05:05Z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